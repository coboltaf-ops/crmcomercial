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  <Override PartName="/xl/threadedComments/threadedComment5.xml" ContentType="application/vnd.ms-excel.threadedcomments+xml"/>
  <Override PartName="/xl/threadedComments/threadedComment6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josepalomares/Desktop/OFERTAS/Palomares Consultor/"/>
    </mc:Choice>
  </mc:AlternateContent>
  <xr:revisionPtr revIDLastSave="0" documentId="13_ncr:1_{C6D39847-B249-A54C-9E6F-5340C94B751D}" xr6:coauthVersionLast="47" xr6:coauthVersionMax="47" xr10:uidLastSave="{00000000-0000-0000-0000-000000000000}"/>
  <bookViews>
    <workbookView xWindow="50960" yWindow="-120" windowWidth="29040" windowHeight="15720" firstSheet="2" activeTab="6" xr2:uid="{7691091B-0001-46C9-8D12-35BC61CC3F15}"/>
  </bookViews>
  <sheets>
    <sheet name="FLUJO DE CAJA PROYECTADO  (2)" sheetId="12" r:id="rId1"/>
    <sheet name="FLUJO DE CAJA PROYECTADO  (V1)" sheetId="11" r:id="rId2"/>
    <sheet name="Resumen" sheetId="9" r:id="rId3"/>
    <sheet name="Control Flujo de caja" sheetId="1" r:id="rId4"/>
    <sheet name="FLUJO DE CAJA PRESU" sheetId="3" r:id="rId5"/>
    <sheet name="FLUJO DE CAJA PROYECTADO " sheetId="5" r:id="rId6"/>
    <sheet name="REAL" sheetId="4" r:id="rId7"/>
    <sheet name="ASEGURADO" sheetId="10" r:id="rId8"/>
    <sheet name="Contabilidad" sheetId="6" r:id="rId9"/>
    <sheet name="Base contabilidad" sheetId="7" r:id="rId10"/>
    <sheet name="CURVA S" sheetId="8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__F">[1]Hoja3!#REF!</definedName>
    <definedName name="_1TEXAS_LONG">#REF!</definedName>
    <definedName name="_ACC53">#REF!</definedName>
    <definedName name="_ACC54">#REF!</definedName>
    <definedName name="_ACC56">#REF!</definedName>
    <definedName name="_AtRisk_SimSetting_AutomaticallyGenerateReports" hidden="1">FALSE</definedName>
    <definedName name="_AtRisk_SimSetting_AutomaticResultsDisplayMode" hidden="1">1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0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UT38">#REF!</definedName>
    <definedName name="_BUT78">#REF!</definedName>
    <definedName name="_EPD15">#REF!</definedName>
    <definedName name="_F">[1]Hoja3!#REF!</definedName>
    <definedName name="_Fill" hidden="1">'[2]Tiraje Mix'!#REF!</definedName>
    <definedName name="_xlnm._FilterDatabase" localSheetId="3" hidden="1">'Control Flujo de caja'!$B$27:$AO$62</definedName>
    <definedName name="_xlnm._FilterDatabase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AG1">#REF!</definedName>
    <definedName name="_Sort" hidden="1">#REF!</definedName>
    <definedName name="_TCA704">#REF!</definedName>
    <definedName name="_TOR10">#REF!</definedName>
    <definedName name="_TOR14">#REF!</definedName>
    <definedName name="_TR4">#REF!</definedName>
    <definedName name="A">'[3]Encofrado BVR Unispan'!$C$10</definedName>
    <definedName name="A_001">[4]puni!$H$51</definedName>
    <definedName name="A_002">[4]puni!$H$97</definedName>
    <definedName name="A_003">[4]puni!$H$143</definedName>
    <definedName name="A_004">[4]puni!$H$189</definedName>
    <definedName name="A_005">[4]puni!$H$235</definedName>
    <definedName name="A_006">[4]puni!$H$281</definedName>
    <definedName name="A_007">[4]puni!$H$327</definedName>
    <definedName name="A_008">[4]puni!$H$373</definedName>
    <definedName name="A_009">[4]puni!$H$425</definedName>
    <definedName name="A_512">[5]puni!$H$143</definedName>
    <definedName name="A_IMPRESIÓN_IM">#REF!</definedName>
    <definedName name="AA">#REF!</definedName>
    <definedName name="abc">#REF!</definedName>
    <definedName name="ABRAZ">#REF!</definedName>
    <definedName name="ACCESORIOS">#REF!</definedName>
    <definedName name="ACER.">#REF!</definedName>
    <definedName name="acero">#REF!</definedName>
    <definedName name="ACT">#REF!</definedName>
    <definedName name="ADEL">#REF!</definedName>
    <definedName name="ADELANTO">#REF!</definedName>
    <definedName name="ADELANTOAPT">#REF!</definedName>
    <definedName name="AE">#REF!</definedName>
    <definedName name="AFI">#REF!</definedName>
    <definedName name="afirmado">#REF!</definedName>
    <definedName name="AFN">#REF!</definedName>
    <definedName name="AFNIT">#REF!</definedName>
    <definedName name="AFP">#REF!</definedName>
    <definedName name="AFPYN">#REF!</definedName>
    <definedName name="Agua">#REF!</definedName>
    <definedName name="aj_e1">#REF!</definedName>
    <definedName name="alambre">#REF!</definedName>
    <definedName name="Alizadora">#REF!</definedName>
    <definedName name="Almacén_sótano">#REF!</definedName>
    <definedName name="AMI">#REF!</definedName>
    <definedName name="AN">#REF!</definedName>
    <definedName name="ANAC">#REF!</definedName>
    <definedName name="Analisis">#REF!</definedName>
    <definedName name="AÑO">#REF!</definedName>
    <definedName name="apisonadora">#REF!</definedName>
    <definedName name="Arancel">#REF!</definedName>
    <definedName name="AREA">#REF!</definedName>
    <definedName name="Area__cm2">#REF!</definedName>
    <definedName name="AREA_COLUMNAS">#REF!</definedName>
    <definedName name="_xlnm.Print_Area">#REF!</definedName>
    <definedName name="Area_mezzanine">#REF!</definedName>
    <definedName name="Area_piso1">#REF!</definedName>
    <definedName name="Area_piso2">#REF!</definedName>
    <definedName name="Area_piso3">#REF!</definedName>
    <definedName name="Área_Techada">#REF!</definedName>
    <definedName name="Area_terreno">#REF!</definedName>
    <definedName name="AREAS">#REF!</definedName>
    <definedName name="arenado">#REF!</definedName>
    <definedName name="arenag">#REF!</definedName>
    <definedName name="Arial">#REF!</definedName>
    <definedName name="ARTEFACTOS">#REF!</definedName>
    <definedName name="Ay">#REF!</definedName>
    <definedName name="B">'[6]pu Estructuras'!#REF!</definedName>
    <definedName name="B1_Dpto_1_1">#REF!</definedName>
    <definedName name="B1_Dpto_2_1">#REF!</definedName>
    <definedName name="B1_Dpto_3_1">#REF!</definedName>
    <definedName name="B1_Dpto_4_1">#REF!</definedName>
    <definedName name="B2_Dpto_1_1">#REF!</definedName>
    <definedName name="B2_Dpto_2_1">#REF!</definedName>
    <definedName name="B2_Dpto_3_1">#REF!</definedName>
    <definedName name="B2_Dpto_4_1">#REF!</definedName>
    <definedName name="BAJADA">#REF!</definedName>
    <definedName name="BASE">#REF!</definedName>
    <definedName name="base2">#REF!</definedName>
    <definedName name="_xlnm.Database">'[2]Tiraje Mix'!#REF!</definedName>
    <definedName name="binario">#REF!,#REF!,#REF!,#REF!</definedName>
    <definedName name="bitumen">#REF!</definedName>
    <definedName name="bomba">#REF!</definedName>
    <definedName name="bridas">#REF!</definedName>
    <definedName name="BuiltIn_Print_Area">#REF!</definedName>
    <definedName name="buscar">#REF!</definedName>
    <definedName name="Buscar2">#REF!</definedName>
    <definedName name="BuscarMerfi">#REF!</definedName>
    <definedName name="camion">#REF!</definedName>
    <definedName name="CANALETA">#REF!</definedName>
    <definedName name="CAPU">#REF!</definedName>
    <definedName name="CARAArch">#REF!</definedName>
    <definedName name="CARAConc">#REF!</definedName>
    <definedName name="CARAElcond">#REF!</definedName>
    <definedName name="CARAEleqt">#REF!</definedName>
    <definedName name="CARAElwire">#REF!</definedName>
    <definedName name="CARAExcav">#REF!</definedName>
    <definedName name="CARAInstr">#REF!</definedName>
    <definedName name="CARAMech">#REF!</definedName>
    <definedName name="CARAPipe">#REF!</definedName>
    <definedName name="CARARfsid">#REF!</definedName>
    <definedName name="CARASite">#REF!</definedName>
    <definedName name="CARASteel">#REF!</definedName>
    <definedName name="CARATanks">#REF!</definedName>
    <definedName name="cargaretroexcavadora">#REF!</definedName>
    <definedName name="CARPINT">#REF!</definedName>
    <definedName name="Cc">#REF!</definedName>
    <definedName name="CCDXXXSP">'[6]pu Estructuras'!#REF!</definedName>
    <definedName name="CCX">'[6]pu Estructuras'!#REF!</definedName>
    <definedName name="CCXC">'[6]pu Estructuras'!#REF!</definedName>
    <definedName name="CDATE">#REF!</definedName>
    <definedName name="CDXXV">'[6]pu Estructuras'!#REF!</definedName>
    <definedName name="cemento1">#REF!</definedName>
    <definedName name="CENTRAL">#REF!</definedName>
    <definedName name="CENTROS">#REF!</definedName>
    <definedName name="CERCO_AES">#REF!</definedName>
    <definedName name="CERCO_EST">#REF!</definedName>
    <definedName name="CERRADURAS">#REF!</definedName>
    <definedName name="cfc100t1">#REF!</definedName>
    <definedName name="cfc2101l">#REF!</definedName>
    <definedName name="cfc2101p">#REF!</definedName>
    <definedName name="cfc210t1">#REF!</definedName>
    <definedName name="cfc210tv">#REF!</definedName>
    <definedName name="cfc245t1">#REF!</definedName>
    <definedName name="cfc245t1f">#REF!</definedName>
    <definedName name="cfc245tv">#REF!</definedName>
    <definedName name="CL">'[3]Encofrado BVR Unispan'!$C$9</definedName>
    <definedName name="clave">#REF!</definedName>
    <definedName name="clavos">#REF!</definedName>
    <definedName name="CLIENTE">#REF!</definedName>
    <definedName name="Clientes">#REF!</definedName>
    <definedName name="CLOSETS">#REF!</definedName>
    <definedName name="CNI">#REF!</definedName>
    <definedName name="COCINAS">#REF!</definedName>
    <definedName name="CODIGO">#REF!</definedName>
    <definedName name="COLEGIO">#REF!</definedName>
    <definedName name="Columnas_sótano">#REF!</definedName>
    <definedName name="Columnas_tienda">#REF!</definedName>
    <definedName name="COMAS">#REF!</definedName>
    <definedName name="Comit">#REF!</definedName>
    <definedName name="COMP">#REF!</definedName>
    <definedName name="COMPE">#REF!</definedName>
    <definedName name="COMPI">#REF!</definedName>
    <definedName name="Compresora">#REF!</definedName>
    <definedName name="CONCQTY">#REF!</definedName>
    <definedName name="CONCRETO_210_kg_cm3">#REF!</definedName>
    <definedName name="confilm">#REF!</definedName>
    <definedName name="CONSUMIBLE1">#REF!</definedName>
    <definedName name="cortadora">#REF!</definedName>
    <definedName name="corte">#REF!</definedName>
    <definedName name="Cp">#REF!</definedName>
    <definedName name="cretex">#REF!</definedName>
    <definedName name="cu">#REF!</definedName>
    <definedName name="CUADRO03">#REF!</definedName>
    <definedName name="CUADRO04">#REF!</definedName>
    <definedName name="cuadro05">#REF!</definedName>
    <definedName name="cuadro06">#REF!</definedName>
    <definedName name="cuadro07">#REF!</definedName>
    <definedName name="cuadro08">#REF!</definedName>
    <definedName name="CUADRO09">#REF!</definedName>
    <definedName name="CUADRO10">#REF!</definedName>
    <definedName name="CUADRO11">#REF!</definedName>
    <definedName name="CUADRO12">#REF!</definedName>
    <definedName name="CUADRO13">#REF!</definedName>
    <definedName name="CUADRO14">#REF!</definedName>
    <definedName name="CUADRO15">#REF!</definedName>
    <definedName name="CUADRO16">#REF!</definedName>
    <definedName name="CUADRO17">#REF!</definedName>
    <definedName name="CUADRO18">#REF!</definedName>
    <definedName name="cuadroD">#REF!</definedName>
    <definedName name="CUOTA">#REF!</definedName>
    <definedName name="Curador">#REF!</definedName>
    <definedName name="CURSO">#REF!</definedName>
    <definedName name="CYArch">#REF!</definedName>
    <definedName name="CYConc">#REF!</definedName>
    <definedName name="CYElcond">#REF!</definedName>
    <definedName name="CYEleqt">#REF!</definedName>
    <definedName name="CYElinstr">#REF!</definedName>
    <definedName name="CYElwire">#REF!</definedName>
    <definedName name="CYExcav">#REF!</definedName>
    <definedName name="CYMech">#REF!</definedName>
    <definedName name="CYPipe">#REF!</definedName>
    <definedName name="CYRfsid">#REF!</definedName>
    <definedName name="CYSite">#REF!</definedName>
    <definedName name="CYSteel">#REF!</definedName>
    <definedName name="CYTanks">#REF!</definedName>
    <definedName name="D">#REF!</definedName>
    <definedName name="DA">#REF!</definedName>
    <definedName name="DATO">#REF!</definedName>
    <definedName name="DC">#REF!</definedName>
    <definedName name="DCV">#REF!</definedName>
    <definedName name="DD">#REF!</definedName>
    <definedName name="DDP">#REF!</definedName>
    <definedName name="DETRAC.">#REF!</definedName>
    <definedName name="DF">#REF!</definedName>
    <definedName name="dfg\">#REF!</definedName>
    <definedName name="DH">#REF!</definedName>
    <definedName name="DIA">#REF!</definedName>
    <definedName name="disco">#REF!</definedName>
    <definedName name="disolvente">#REF!</definedName>
    <definedName name="DMC">#REF!</definedName>
    <definedName name="DMS">#REF!</definedName>
    <definedName name="DNI">#REF!</definedName>
    <definedName name="DNT">#REF!</definedName>
    <definedName name="DNTI">#REF!</definedName>
    <definedName name="DOA">#REF!</definedName>
    <definedName name="dobladora">#REF!</definedName>
    <definedName name="dolar">#REF!</definedName>
    <definedName name="DP">#REF!</definedName>
    <definedName name="DSC">#REF!</definedName>
    <definedName name="DT">#REF!</definedName>
    <definedName name="dta">#REF!</definedName>
    <definedName name="DZ">#REF!</definedName>
    <definedName name="EF">#REF!</definedName>
    <definedName name="EFA">#REF!</definedName>
    <definedName name="ELEMENTS">#REF!</definedName>
    <definedName name="eq">'[7]Electricidad - Climatización'!#REF!</definedName>
    <definedName name="EQUIP">#REF!</definedName>
    <definedName name="equipocorte">#REF!</definedName>
    <definedName name="equipos">#REF!</definedName>
    <definedName name="error_factor">#REF!</definedName>
    <definedName name="error_precio">#REF!</definedName>
    <definedName name="error_resumen">#REF!</definedName>
    <definedName name="ES">#REF!</definedName>
    <definedName name="ESA">#REF!</definedName>
    <definedName name="ESMERALDAS">#REF!</definedName>
    <definedName name="ESPEJOS">#REF!</definedName>
    <definedName name="Estac_aéreo1">#REF!</definedName>
    <definedName name="Estac_aéreo2">#REF!</definedName>
    <definedName name="ESTRUCTURA">#REF!</definedName>
    <definedName name="EXC">#REF!</definedName>
    <definedName name="F.GARANTIA">#REF!</definedName>
    <definedName name="FA">'[7]Electricidad - Climatización'!#REF!</definedName>
    <definedName name="Fa__ksi">#REF!</definedName>
    <definedName name="FAC">#REF!</definedName>
    <definedName name="fila_final">#REF!</definedName>
    <definedName name="fletes_externos">#REF!</definedName>
    <definedName name="fletes_internos">#REF!</definedName>
    <definedName name="fliso">#REF!</definedName>
    <definedName name="FM">#REF!</definedName>
    <definedName name="FN">#REF!</definedName>
    <definedName name="Formato">#REF!</definedName>
    <definedName name="frf">#REF!</definedName>
    <definedName name="Fy__ksi">#REF!</definedName>
    <definedName name="Fy_ksi">#REF!</definedName>
    <definedName name="G.Generales">#REF!</definedName>
    <definedName name="GAST_GRALES">#REF!</definedName>
    <definedName name="GenDetail">#REF!</definedName>
    <definedName name="GG">#REF!</definedName>
    <definedName name="GI">#REF!</definedName>
    <definedName name="Grasa">#REF!</definedName>
    <definedName name="GRIFERIA">#REF!</definedName>
    <definedName name="GU">#REF!</definedName>
    <definedName name="Helada">#REF!</definedName>
    <definedName name="Heladas">#REF!</definedName>
    <definedName name="HOA">#REF!</definedName>
    <definedName name="HOLYDAYS">#REF!</definedName>
    <definedName name="holydays1">#REF!</definedName>
    <definedName name="Hormigon">#REF!</definedName>
    <definedName name="HT">#REF!</definedName>
    <definedName name="HTA">#REF!</definedName>
    <definedName name="I">#REF!</definedName>
    <definedName name="ICNI">#REF!</definedName>
    <definedName name="igv">#REF!</definedName>
    <definedName name="ILNI">#REF!</definedName>
    <definedName name="imp">#REF!</definedName>
    <definedName name="IMPORTACIÓN">#REF!</definedName>
    <definedName name="Imprimir_área_IM">#REF!</definedName>
    <definedName name="ingenieria">#REF!</definedName>
    <definedName name="Ingeniería">#REF!</definedName>
    <definedName name="INTERCENTRAL">#REF!</definedName>
    <definedName name="INV_HEAD">#REF!</definedName>
    <definedName name="INV_START">#REF!</definedName>
    <definedName name="IVA">#REF!</definedName>
    <definedName name="IVA_bienes_importados">#REF!</definedName>
    <definedName name="J">#REF!</definedName>
    <definedName name="JUEVESE">#REF!</definedName>
    <definedName name="JUEVESS">#REF!</definedName>
    <definedName name="K">#REF!</definedName>
    <definedName name="kL_r_max">#REF!</definedName>
    <definedName name="kL_rx">#REF!</definedName>
    <definedName name="kL_rz">#REF!</definedName>
    <definedName name="kx">#REF!</definedName>
    <definedName name="kz">#REF!</definedName>
    <definedName name="laca">#REF!</definedName>
    <definedName name="ladrillokk">#REF!</definedName>
    <definedName name="LAQArch">#REF!</definedName>
    <definedName name="LAQConc">#REF!</definedName>
    <definedName name="LAQElcond">#REF!</definedName>
    <definedName name="LAQEleqt">#REF!</definedName>
    <definedName name="LAQElwire">#REF!</definedName>
    <definedName name="LAQExcav">#REF!</definedName>
    <definedName name="LAQInstr">#REF!</definedName>
    <definedName name="LAQMech">#REF!</definedName>
    <definedName name="LAQPipe">#REF!</definedName>
    <definedName name="LAQRfsid">#REF!</definedName>
    <definedName name="LAQSite">#REF!</definedName>
    <definedName name="LAQSteel">#REF!</definedName>
    <definedName name="LAQTanks">#REF!</definedName>
    <definedName name="LEVELS">#REF!</definedName>
    <definedName name="LINO">#REF!</definedName>
    <definedName name="LISTA">#REF!</definedName>
    <definedName name="ListaCat">#REF!</definedName>
    <definedName name="ListaClientes">#REF!</definedName>
    <definedName name="lu">'[7]Electricidad - Climatización'!#REF!</definedName>
    <definedName name="Lx__cm">#REF!</definedName>
    <definedName name="Lz__cm">#REF!</definedName>
    <definedName name="M">'[3]Encofrado BVR Unispan'!$C$7</definedName>
    <definedName name="ma">'[7]Electricidad - Climatización'!#REF!</definedName>
    <definedName name="Madera">#REF!</definedName>
    <definedName name="manobra">#REF!</definedName>
    <definedName name="MARCOSMADERA">#REF!</definedName>
    <definedName name="MARCOSMETALICOS">#REF!</definedName>
    <definedName name="MARGEN">#REF!</definedName>
    <definedName name="martillo">#REF!</definedName>
    <definedName name="martillohilti">#REF!</definedName>
    <definedName name="masillado">#REF!</definedName>
    <definedName name="MASTER">#REF!</definedName>
    <definedName name="MAT">#REF!</definedName>
    <definedName name="mater">#REF!</definedName>
    <definedName name="mater1">#REF!</definedName>
    <definedName name="Material">#REF!</definedName>
    <definedName name="materiales">#REF!</definedName>
    <definedName name="MatrizOperaciones">#REF!</definedName>
    <definedName name="MatrizOperaciones2">#REF!</definedName>
    <definedName name="mClientes">#REF!</definedName>
    <definedName name="MDC">#REF!</definedName>
    <definedName name="MDDH">#REF!</definedName>
    <definedName name="MDM">#REF!</definedName>
    <definedName name="Mes">#REF!</definedName>
    <definedName name="mezcladora">#REF!</definedName>
    <definedName name="MGG">#REF!</definedName>
    <definedName name="MIAMI">#REF!</definedName>
    <definedName name="MIT">#REF!</definedName>
    <definedName name="mMeses">#REF!</definedName>
    <definedName name="MNI">#REF!</definedName>
    <definedName name="MOBRA">#REF!</definedName>
    <definedName name="MONEDA">#REF!</definedName>
    <definedName name="montaje">#REF!</definedName>
    <definedName name="MONTO">#REF!</definedName>
    <definedName name="MOper">#REF!</definedName>
    <definedName name="MtrxCat">#REF!</definedName>
    <definedName name="mtrxClientes">#REF!</definedName>
    <definedName name="N">#REF!</definedName>
    <definedName name="N.VAL.">#REF!</definedName>
    <definedName name="Nivel">#REF!</definedName>
    <definedName name="NOMBRE">#REF!</definedName>
    <definedName name="Nombre_de_la_empresa">#REF!</definedName>
    <definedName name="Nombre_del_grupo_de_especificación">#REF!</definedName>
    <definedName name="Nombre_del_proyecto">#REF!</definedName>
    <definedName name="NOTA">#REF!</definedName>
    <definedName name="OBRA">#REF!</definedName>
    <definedName name="Of">#REF!</definedName>
    <definedName name="Op">#REF!</definedName>
    <definedName name="OPCIONALC">#REF!</definedName>
    <definedName name="OPCIONALT">#REF!</definedName>
    <definedName name="operaciones">#REF!</definedName>
    <definedName name="OPERARIOS">#REF!</definedName>
    <definedName name="OT">#REF!</definedName>
    <definedName name="other_tab">#REF!</definedName>
    <definedName name="otros_gastos_de_nacionalizacion">#REF!</definedName>
    <definedName name="P10C1">#N/A</definedName>
    <definedName name="PAB_01_EST">#REF!</definedName>
    <definedName name="PAB_A_AES">#REF!</definedName>
    <definedName name="PAB_A_EST">#REF!</definedName>
    <definedName name="PAB_B_AES">#REF!</definedName>
    <definedName name="PAB_B_EST">#REF!</definedName>
    <definedName name="PAB_C_AES">#REF!</definedName>
    <definedName name="PAB_C_EST">#REF!</definedName>
    <definedName name="PAB_D_AES">#REF!</definedName>
    <definedName name="PAB_D_EST">#REF!</definedName>
    <definedName name="Página1">#REF!</definedName>
    <definedName name="PÁGINA101">#REF!</definedName>
    <definedName name="Página2">#REF!</definedName>
    <definedName name="Página3">#REF!</definedName>
    <definedName name="PalisadeReportWorkbookCreatedBy">"AtRisk"</definedName>
    <definedName name="PARTIDA">#REF!</definedName>
    <definedName name="PCV">#REF!</definedName>
    <definedName name="pepe">[5]puni!$H$281</definedName>
    <definedName name="PER">#REF!</definedName>
    <definedName name="Perímetro_sótano">#REF!</definedName>
    <definedName name="Perímetro_tienda">#REF!</definedName>
    <definedName name="PESO">#REF!</definedName>
    <definedName name="PESO_COLUMNAS">#REF!</definedName>
    <definedName name="Peso_kg_m">#REF!</definedName>
    <definedName name="PESOS">#REF!</definedName>
    <definedName name="piedrag">#REF!</definedName>
    <definedName name="PINTURA">#REF!</definedName>
    <definedName name="pintut">#REF!</definedName>
    <definedName name="PL">#REF!</definedName>
    <definedName name="por">#REF!</definedName>
    <definedName name="proyectos">#REF!</definedName>
    <definedName name="prueba">#REF!</definedName>
    <definedName name="PTG">#REF!</definedName>
    <definedName name="PUERTASALUMINIO">#REF!</definedName>
    <definedName name="punta">#REF!</definedName>
    <definedName name="PV">#REF!</definedName>
    <definedName name="pvc">#REF!</definedName>
    <definedName name="QTYBASE">#REF!</definedName>
    <definedName name="Quimilac">#REF!</definedName>
    <definedName name="Quimisolven">#REF!</definedName>
    <definedName name="RBAH">#REF!</definedName>
    <definedName name="RECURSOS">#REF!</definedName>
    <definedName name="ree">#REF!</definedName>
    <definedName name="rel_tam">#REF!</definedName>
    <definedName name="RELACION">#REF!</definedName>
    <definedName name="REM">#REF!</definedName>
    <definedName name="REPUESTOS">#REF!</definedName>
    <definedName name="RESUMEN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FALSE</definedName>
    <definedName name="rodillo">#REF!</definedName>
    <definedName name="RPHA">#REF!</definedName>
    <definedName name="rx__cm">#REF!</definedName>
    <definedName name="rz__cm">#REF!</definedName>
    <definedName name="salida">#REF!</definedName>
    <definedName name="SBH">#REF!</definedName>
    <definedName name="SC">#REF!</definedName>
    <definedName name="seguros_externos">#REF!</definedName>
    <definedName name="seguros_internos">#REF!</definedName>
    <definedName name="sek">#REF!</definedName>
    <definedName name="sellador">#REF!</definedName>
    <definedName name="sheet6">[1]Hoja3!#REF!</definedName>
    <definedName name="sheet6_1">[1]Hoja3!#REF!</definedName>
    <definedName name="sika1">#REF!</definedName>
    <definedName name="sikapiso40">#REF!</definedName>
    <definedName name="SISTEMA1">#REF!</definedName>
    <definedName name="SISTEMA2">#REF!</definedName>
    <definedName name="SM">#REF!</definedName>
    <definedName name="SOCIO">#REF!</definedName>
    <definedName name="SOLES">#REF!</definedName>
    <definedName name="space">#REF!</definedName>
    <definedName name="spaces">#REF!</definedName>
    <definedName name="SUBCON">#REF!</definedName>
    <definedName name="Superestructura">#REF!</definedName>
    <definedName name="surflex">#REF!</definedName>
    <definedName name="T">'[3]Encofrado BVR Unispan'!$C$8</definedName>
    <definedName name="ta">'[7]Electricidad - Climatización'!#REF!</definedName>
    <definedName name="TABLA">#REF!</definedName>
    <definedName name="TALLER">#REF!</definedName>
    <definedName name="TarifasHorarias">#REF!</definedName>
    <definedName name="TASKS">#REF!</definedName>
    <definedName name="TC">#REF!</definedName>
    <definedName name="TD">#REF!</definedName>
    <definedName name="tecnopor">#REF!</definedName>
    <definedName name="Teodolito">#REF!</definedName>
    <definedName name="tequipos">#REF!</definedName>
    <definedName name="tequipos2">#REF!</definedName>
    <definedName name="TGA">#REF!</definedName>
    <definedName name="tgastgen">#REF!</definedName>
    <definedName name="TIPCAMB">#REF!</definedName>
    <definedName name="TIPO">#REF!</definedName>
    <definedName name="tit">#REF!</definedName>
    <definedName name="TITLE">#REF!</definedName>
    <definedName name="_xlnm.Print_Titles">#REF!</definedName>
    <definedName name="tmanobra">#REF!</definedName>
    <definedName name="tmateriales">#REF!</definedName>
    <definedName name="TMP">#REF!</definedName>
    <definedName name="Total_Scheduled_Jobhours">#REF!</definedName>
    <definedName name="tpintura">#REF!</definedName>
    <definedName name="TR4P">#REF!</definedName>
    <definedName name="TRANSMISION">#REF!</definedName>
    <definedName name="triplay">#REF!</definedName>
    <definedName name="tseguridad">#REF!</definedName>
    <definedName name="tsubcontrato">#REF!</definedName>
    <definedName name="TT">#REF!</definedName>
    <definedName name="ttransporte">#REF!</definedName>
    <definedName name="tutilidad">#REF!</definedName>
    <definedName name="tviaticos">#REF!</definedName>
    <definedName name="uf">'[7]Electricidad - Climatización'!#REF!</definedName>
    <definedName name="US">#REF!</definedName>
    <definedName name="usd">#REF!</definedName>
    <definedName name="uss">#REF!</definedName>
    <definedName name="Utilidades">#REF!</definedName>
    <definedName name="UTL">#REF!</definedName>
    <definedName name="VALORIZACION1">#REF!</definedName>
    <definedName name="VALORIZACION10">#REF!</definedName>
    <definedName name="VALORIZACION2">#REF!</definedName>
    <definedName name="VALORIZACION3">#REF!</definedName>
    <definedName name="VALORIZACION4">#REF!</definedName>
    <definedName name="VALORIZACION5">#REF!</definedName>
    <definedName name="VALORIZACION6">#REF!</definedName>
    <definedName name="VALORIZACION7">#REF!</definedName>
    <definedName name="VALORIZACION8">#REF!</definedName>
    <definedName name="VALORIZACION9">#REF!</definedName>
    <definedName name="VANITORIOS">#REF!</definedName>
    <definedName name="VANOS">#REF!</definedName>
    <definedName name="VENTANAS">#REF!</definedName>
    <definedName name="VENTAS">#REF!</definedName>
    <definedName name="VENTURA">#REF!</definedName>
    <definedName name="VI">#REF!</definedName>
    <definedName name="vibradora">#REF!</definedName>
    <definedName name="vigas">#REF!</definedName>
    <definedName name="VNI">#REF!</definedName>
    <definedName name="VNIM">#REF!</definedName>
    <definedName name="WATT">#REF!</definedName>
    <definedName name="WATT1">#REF!</definedName>
    <definedName name="WEEK">#REF!</definedName>
    <definedName name="week1">#REF!</definedName>
    <definedName name="WK">#REF!</definedName>
    <definedName name="workshop">#REF!</definedName>
    <definedName name="X">#REF!</definedName>
    <definedName name="X__cm">#REF!</definedName>
    <definedName name="yute">#REF!</definedName>
    <definedName name="ZET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Q73" i="1" l="1"/>
  <c r="AQ72" i="1"/>
  <c r="AQ71" i="1"/>
  <c r="AQ69" i="1"/>
  <c r="AQ68" i="1"/>
  <c r="AQ67" i="1"/>
  <c r="AN73" i="1"/>
  <c r="AN72" i="1"/>
  <c r="AN71" i="1"/>
  <c r="AN69" i="1"/>
  <c r="AN68" i="1"/>
  <c r="AN67" i="1"/>
  <c r="AQ77" i="1"/>
  <c r="AQ75" i="1" s="1"/>
  <c r="AQ74" i="1" s="1"/>
  <c r="AQ76" i="1"/>
  <c r="AN77" i="1"/>
  <c r="AN76" i="1"/>
  <c r="Y50" i="4"/>
  <c r="AB22" i="8"/>
  <c r="AB23" i="8"/>
  <c r="AB24" i="8"/>
  <c r="AB25" i="8"/>
  <c r="AB21" i="8"/>
  <c r="AA22" i="8"/>
  <c r="AA23" i="8"/>
  <c r="AA24" i="8"/>
  <c r="AA25" i="8"/>
  <c r="AA21" i="8"/>
  <c r="AN63" i="5"/>
  <c r="I63" i="4"/>
  <c r="AO65" i="4"/>
  <c r="AP65" i="4"/>
  <c r="AQ65" i="4"/>
  <c r="AR65" i="4"/>
  <c r="D20" i="9"/>
  <c r="AS63" i="5"/>
  <c r="AQ63" i="1"/>
  <c r="AQ62" i="1" s="1"/>
  <c r="AQ61" i="1" s="1"/>
  <c r="AQ60" i="1"/>
  <c r="AQ59" i="1"/>
  <c r="AQ58" i="1"/>
  <c r="AQ57" i="1"/>
  <c r="AQ54" i="1"/>
  <c r="AQ53" i="1" s="1"/>
  <c r="AQ52" i="1"/>
  <c r="AQ51" i="1"/>
  <c r="AQ50" i="1"/>
  <c r="AQ49" i="1"/>
  <c r="AQ48" i="1"/>
  <c r="AQ47" i="1"/>
  <c r="AQ46" i="1"/>
  <c r="AQ45" i="1"/>
  <c r="AQ44" i="1"/>
  <c r="AQ42" i="1"/>
  <c r="AQ41" i="1"/>
  <c r="AQ39" i="1"/>
  <c r="AQ38" i="1"/>
  <c r="AQ37" i="1"/>
  <c r="AQ31" i="1"/>
  <c r="AQ32" i="1"/>
  <c r="AQ33" i="1"/>
  <c r="AQ34" i="1"/>
  <c r="AQ35" i="1"/>
  <c r="AQ30" i="1"/>
  <c r="AP77" i="1"/>
  <c r="AP73" i="1"/>
  <c r="AP72" i="1"/>
  <c r="AP71" i="1"/>
  <c r="AP69" i="1"/>
  <c r="AP68" i="1"/>
  <c r="AP67" i="1"/>
  <c r="AP63" i="1"/>
  <c r="AP60" i="1"/>
  <c r="AP59" i="1"/>
  <c r="AP58" i="1"/>
  <c r="AR58" i="1" s="1"/>
  <c r="AP57" i="1"/>
  <c r="AP54" i="1"/>
  <c r="AP52" i="1"/>
  <c r="AP51" i="1"/>
  <c r="AP50" i="1"/>
  <c r="AP49" i="1"/>
  <c r="AP48" i="1"/>
  <c r="AP47" i="1"/>
  <c r="AP46" i="1"/>
  <c r="AP45" i="1"/>
  <c r="AP44" i="1"/>
  <c r="AP42" i="1"/>
  <c r="AP41" i="1"/>
  <c r="AP39" i="1"/>
  <c r="AP38" i="1"/>
  <c r="AP37" i="1"/>
  <c r="AP31" i="1"/>
  <c r="AP32" i="1"/>
  <c r="AP33" i="1"/>
  <c r="AP34" i="1"/>
  <c r="AP35" i="1"/>
  <c r="AP30" i="1"/>
  <c r="AR60" i="1"/>
  <c r="AR52" i="1"/>
  <c r="AR51" i="1"/>
  <c r="AR50" i="1"/>
  <c r="AR48" i="1"/>
  <c r="AR47" i="1"/>
  <c r="AR46" i="1"/>
  <c r="AR45" i="1"/>
  <c r="AR39" i="1"/>
  <c r="AR34" i="1"/>
  <c r="AR33" i="1"/>
  <c r="AR32" i="1"/>
  <c r="AQ27" i="1"/>
  <c r="AS62" i="4"/>
  <c r="AS61" i="4" s="1"/>
  <c r="AS60" i="4" s="1"/>
  <c r="AR61" i="4"/>
  <c r="AQ61" i="4"/>
  <c r="AP61" i="4"/>
  <c r="AO61" i="4"/>
  <c r="AR60" i="4"/>
  <c r="AQ60" i="4"/>
  <c r="AP60" i="4"/>
  <c r="AO60" i="4"/>
  <c r="AS59" i="4"/>
  <c r="AS58" i="4"/>
  <c r="AS57" i="4"/>
  <c r="AR56" i="4"/>
  <c r="AR51" i="4" s="1"/>
  <c r="AR50" i="4" s="1"/>
  <c r="AQ56" i="4"/>
  <c r="AP56" i="4"/>
  <c r="AO56" i="4"/>
  <c r="AS55" i="4"/>
  <c r="AS54" i="4"/>
  <c r="AS53" i="4"/>
  <c r="AR52" i="4"/>
  <c r="AQ52" i="4"/>
  <c r="AP52" i="4"/>
  <c r="AP51" i="4" s="1"/>
  <c r="AP50" i="4" s="1"/>
  <c r="AO52" i="4"/>
  <c r="AQ51" i="4"/>
  <c r="AO51" i="4"/>
  <c r="AQ50" i="4"/>
  <c r="AO50" i="4"/>
  <c r="AS49" i="4"/>
  <c r="AS48" i="4" s="1"/>
  <c r="AS47" i="4" s="1"/>
  <c r="AR48" i="4"/>
  <c r="AQ48" i="4"/>
  <c r="AP48" i="4"/>
  <c r="AO48" i="4"/>
  <c r="AR47" i="4"/>
  <c r="AQ47" i="4"/>
  <c r="AP47" i="4"/>
  <c r="AO47" i="4"/>
  <c r="AS46" i="4"/>
  <c r="AS45" i="4"/>
  <c r="AS44" i="4"/>
  <c r="AS43" i="4"/>
  <c r="AS42" i="4" s="1"/>
  <c r="AS41" i="4" s="1"/>
  <c r="AR42" i="4"/>
  <c r="AQ42" i="4"/>
  <c r="AP42" i="4"/>
  <c r="AO42" i="4"/>
  <c r="AO41" i="4" s="1"/>
  <c r="AR41" i="4"/>
  <c r="AQ41" i="4"/>
  <c r="AP41" i="4"/>
  <c r="AS40" i="4"/>
  <c r="AS39" i="4"/>
  <c r="AR39" i="4"/>
  <c r="AQ39" i="4"/>
  <c r="AP39" i="4"/>
  <c r="AO39" i="4"/>
  <c r="AS38" i="4"/>
  <c r="AS37" i="4"/>
  <c r="AS36" i="4"/>
  <c r="AS35" i="4"/>
  <c r="AS34" i="4"/>
  <c r="AS33" i="4"/>
  <c r="AS32" i="4"/>
  <c r="AS31" i="4"/>
  <c r="AS30" i="4"/>
  <c r="AS29" i="4"/>
  <c r="AR29" i="4"/>
  <c r="AQ29" i="4"/>
  <c r="AP29" i="4"/>
  <c r="AO29" i="4"/>
  <c r="AS27" i="4"/>
  <c r="AS26" i="4" s="1"/>
  <c r="AS14" i="4" s="1"/>
  <c r="AR26" i="4"/>
  <c r="AQ26" i="4"/>
  <c r="AP26" i="4"/>
  <c r="AO26" i="4"/>
  <c r="AS25" i="4"/>
  <c r="AS24" i="4"/>
  <c r="AS23" i="4"/>
  <c r="AS22" i="4"/>
  <c r="AR22" i="4"/>
  <c r="AQ22" i="4"/>
  <c r="AP22" i="4"/>
  <c r="AO22" i="4"/>
  <c r="AS21" i="4"/>
  <c r="AS20" i="4"/>
  <c r="AS19" i="4"/>
  <c r="AS18" i="4"/>
  <c r="AS17" i="4"/>
  <c r="AS16" i="4"/>
  <c r="AS15" i="4"/>
  <c r="AR15" i="4"/>
  <c r="AQ15" i="4"/>
  <c r="AP15" i="4"/>
  <c r="AO15" i="4"/>
  <c r="AR14" i="4"/>
  <c r="AQ14" i="4"/>
  <c r="AP14" i="4"/>
  <c r="AO14" i="4"/>
  <c r="AO8" i="4"/>
  <c r="AO5" i="4"/>
  <c r="AP5" i="4"/>
  <c r="AQ5" i="4"/>
  <c r="AR5" i="4"/>
  <c r="AS5" i="4"/>
  <c r="AR8" i="4"/>
  <c r="AQ8" i="4"/>
  <c r="AP8" i="4"/>
  <c r="AS7" i="4"/>
  <c r="AS8" i="4" s="1"/>
  <c r="AP21" i="1"/>
  <c r="AO5" i="5"/>
  <c r="AP5" i="5"/>
  <c r="AQ5" i="5"/>
  <c r="AR5" i="5"/>
  <c r="AS5" i="5"/>
  <c r="AR24" i="1"/>
  <c r="AP24" i="1"/>
  <c r="AQ18" i="1"/>
  <c r="I17" i="8"/>
  <c r="I18" i="8"/>
  <c r="I19" i="8"/>
  <c r="I20" i="8"/>
  <c r="I21" i="8"/>
  <c r="I22" i="8"/>
  <c r="I23" i="8"/>
  <c r="I24" i="8"/>
  <c r="I25" i="8"/>
  <c r="AS62" i="5"/>
  <c r="AR61" i="5"/>
  <c r="AR60" i="5" s="1"/>
  <c r="AQ61" i="5"/>
  <c r="AP61" i="5"/>
  <c r="AO61" i="5"/>
  <c r="AO60" i="5" s="1"/>
  <c r="AQ60" i="5"/>
  <c r="AP60" i="5"/>
  <c r="AS59" i="5"/>
  <c r="AS58" i="5"/>
  <c r="AS57" i="5"/>
  <c r="AS56" i="5"/>
  <c r="AR56" i="5"/>
  <c r="AQ56" i="5"/>
  <c r="AP56" i="5"/>
  <c r="AO56" i="5"/>
  <c r="AS55" i="5"/>
  <c r="AS54" i="5"/>
  <c r="AS53" i="5"/>
  <c r="AS52" i="5"/>
  <c r="AR52" i="5"/>
  <c r="AQ52" i="5"/>
  <c r="AP52" i="5"/>
  <c r="AO52" i="5"/>
  <c r="AS51" i="5"/>
  <c r="AR51" i="5"/>
  <c r="AQ51" i="5"/>
  <c r="AP51" i="5"/>
  <c r="AO51" i="5"/>
  <c r="AS50" i="5"/>
  <c r="AR50" i="5"/>
  <c r="AQ50" i="5"/>
  <c r="AP50" i="5"/>
  <c r="AO50" i="5"/>
  <c r="AS49" i="5"/>
  <c r="AS48" i="5" s="1"/>
  <c r="AS47" i="5" s="1"/>
  <c r="AR48" i="5"/>
  <c r="AQ48" i="5"/>
  <c r="AP48" i="5"/>
  <c r="AO48" i="5"/>
  <c r="AR47" i="5"/>
  <c r="AQ47" i="5"/>
  <c r="AP47" i="5"/>
  <c r="AO47" i="5"/>
  <c r="AS46" i="5"/>
  <c r="AS45" i="5"/>
  <c r="AS44" i="5"/>
  <c r="AS43" i="5"/>
  <c r="AS42" i="5"/>
  <c r="AR42" i="5"/>
  <c r="AQ42" i="5"/>
  <c r="AP42" i="5"/>
  <c r="AO42" i="5"/>
  <c r="AS41" i="5"/>
  <c r="AR41" i="5"/>
  <c r="AQ41" i="5"/>
  <c r="AP41" i="5"/>
  <c r="AO41" i="5"/>
  <c r="AS40" i="5"/>
  <c r="AS39" i="5" s="1"/>
  <c r="AS14" i="5" s="1"/>
  <c r="AR39" i="5"/>
  <c r="AQ39" i="5"/>
  <c r="AP39" i="5"/>
  <c r="AO39" i="5"/>
  <c r="AS38" i="5"/>
  <c r="AS37" i="5"/>
  <c r="AS36" i="5"/>
  <c r="AS35" i="5"/>
  <c r="AS34" i="5"/>
  <c r="AS33" i="5"/>
  <c r="AS32" i="5"/>
  <c r="AS31" i="5"/>
  <c r="AS30" i="5"/>
  <c r="AS29" i="5"/>
  <c r="AR29" i="5"/>
  <c r="AQ29" i="5"/>
  <c r="AP29" i="5"/>
  <c r="AO29" i="5"/>
  <c r="AS28" i="5"/>
  <c r="AR28" i="5"/>
  <c r="AS27" i="5"/>
  <c r="AS26" i="5"/>
  <c r="AR26" i="5"/>
  <c r="AQ26" i="5"/>
  <c r="AP26" i="5"/>
  <c r="AO26" i="5"/>
  <c r="AS25" i="5"/>
  <c r="AS24" i="5"/>
  <c r="AS23" i="5"/>
  <c r="AS22" i="5"/>
  <c r="AR22" i="5"/>
  <c r="AQ22" i="5"/>
  <c r="AP22" i="5"/>
  <c r="AO22" i="5"/>
  <c r="AS21" i="5"/>
  <c r="AS20" i="5"/>
  <c r="AS19" i="5"/>
  <c r="AS18" i="5"/>
  <c r="AS17" i="5"/>
  <c r="AS16" i="5"/>
  <c r="AS15" i="5"/>
  <c r="AR15" i="5"/>
  <c r="AQ15" i="5"/>
  <c r="AP15" i="5"/>
  <c r="AO15" i="5"/>
  <c r="AR14" i="5"/>
  <c r="AQ14" i="5"/>
  <c r="AP14" i="5"/>
  <c r="AO14" i="5"/>
  <c r="AS7" i="5"/>
  <c r="AN7" i="5"/>
  <c r="AO8" i="5"/>
  <c r="AP8" i="5"/>
  <c r="AQ8" i="5"/>
  <c r="AR8" i="5"/>
  <c r="AS8" i="5"/>
  <c r="J106" i="12"/>
  <c r="L106" i="12"/>
  <c r="P106" i="12"/>
  <c r="S106" i="12"/>
  <c r="U106" i="12"/>
  <c r="W106" i="12"/>
  <c r="Z106" i="12"/>
  <c r="AB106" i="12"/>
  <c r="C87" i="12"/>
  <c r="C88" i="12"/>
  <c r="E88" i="12" s="1"/>
  <c r="C77" i="12"/>
  <c r="C78" i="12"/>
  <c r="C79" i="12"/>
  <c r="G77" i="12" s="1"/>
  <c r="C80" i="12"/>
  <c r="C81" i="12"/>
  <c r="E81" i="12" s="1"/>
  <c r="F66" i="12"/>
  <c r="K14" i="12"/>
  <c r="L14" i="12"/>
  <c r="N14" i="12"/>
  <c r="P14" i="12"/>
  <c r="Q14" i="12"/>
  <c r="R14" i="12"/>
  <c r="D15" i="12"/>
  <c r="E15" i="12"/>
  <c r="F15" i="12"/>
  <c r="K15" i="12"/>
  <c r="L15" i="12"/>
  <c r="N15" i="12"/>
  <c r="P15" i="12"/>
  <c r="Q15" i="12"/>
  <c r="R15" i="12"/>
  <c r="S15" i="12"/>
  <c r="S14" i="12" s="1"/>
  <c r="U15" i="12"/>
  <c r="U14" i="12" s="1"/>
  <c r="V15" i="12"/>
  <c r="V14" i="12" s="1"/>
  <c r="W15" i="12"/>
  <c r="W14" i="12" s="1"/>
  <c r="X15" i="12"/>
  <c r="Z15" i="12"/>
  <c r="Z14" i="12" s="1"/>
  <c r="AA15" i="12"/>
  <c r="AA14" i="12" s="1"/>
  <c r="AB15" i="12"/>
  <c r="AB14" i="12" s="1"/>
  <c r="AC15" i="12"/>
  <c r="AE15" i="12"/>
  <c r="AE14" i="12" s="1"/>
  <c r="AF15" i="12"/>
  <c r="AF14" i="12" s="1"/>
  <c r="AG15" i="12"/>
  <c r="AG14" i="12" s="1"/>
  <c r="AH15" i="12"/>
  <c r="AJ15" i="12"/>
  <c r="AJ14" i="12" s="1"/>
  <c r="AK15" i="12"/>
  <c r="AK14" i="12" s="1"/>
  <c r="AL15" i="12"/>
  <c r="AL14" i="12" s="1"/>
  <c r="AM15" i="12"/>
  <c r="G16" i="12"/>
  <c r="G15" i="12" s="1"/>
  <c r="O16" i="12"/>
  <c r="T16" i="12"/>
  <c r="T15" i="12" s="1"/>
  <c r="Y16" i="12"/>
  <c r="Y15" i="12" s="1"/>
  <c r="AD16" i="12"/>
  <c r="AD15" i="12" s="1"/>
  <c r="AI16" i="12"/>
  <c r="AI15" i="12" s="1"/>
  <c r="AN16" i="12"/>
  <c r="AN15" i="12" s="1"/>
  <c r="G17" i="12"/>
  <c r="O17" i="12"/>
  <c r="I17" i="12" s="1"/>
  <c r="T17" i="12"/>
  <c r="Y17" i="12"/>
  <c r="AD17" i="12"/>
  <c r="AI17" i="12"/>
  <c r="AN17" i="12"/>
  <c r="G18" i="12"/>
  <c r="O18" i="12"/>
  <c r="I18" i="12" s="1"/>
  <c r="T18" i="12"/>
  <c r="Y18" i="12"/>
  <c r="AD18" i="12"/>
  <c r="AI18" i="12"/>
  <c r="AN18" i="12"/>
  <c r="G19" i="12"/>
  <c r="O19" i="12"/>
  <c r="I19" i="12" s="1"/>
  <c r="T19" i="12"/>
  <c r="Y19" i="12"/>
  <c r="AD19" i="12"/>
  <c r="AI19" i="12"/>
  <c r="AN19" i="12"/>
  <c r="G20" i="12"/>
  <c r="O20" i="12"/>
  <c r="I20" i="12" s="1"/>
  <c r="T20" i="12"/>
  <c r="Y20" i="12"/>
  <c r="AD20" i="12"/>
  <c r="AI20" i="12"/>
  <c r="AN20" i="12"/>
  <c r="G21" i="12"/>
  <c r="J21" i="12"/>
  <c r="J15" i="12" s="1"/>
  <c r="M21" i="12"/>
  <c r="T21" i="12"/>
  <c r="Y21" i="12"/>
  <c r="AD21" i="12"/>
  <c r="AI21" i="12"/>
  <c r="AN21" i="12"/>
  <c r="G22" i="12"/>
  <c r="J22" i="12"/>
  <c r="K22" i="12"/>
  <c r="L22" i="12"/>
  <c r="M22" i="12"/>
  <c r="N22" i="12"/>
  <c r="O22" i="12"/>
  <c r="P22" i="12"/>
  <c r="Q22" i="12"/>
  <c r="R22" i="12"/>
  <c r="S22" i="12"/>
  <c r="U22" i="12"/>
  <c r="V22" i="12"/>
  <c r="W22" i="12"/>
  <c r="X22" i="12"/>
  <c r="Z22" i="12"/>
  <c r="AA22" i="12"/>
  <c r="AB22" i="12"/>
  <c r="AC22" i="12"/>
  <c r="AE22" i="12"/>
  <c r="AF22" i="12"/>
  <c r="AG22" i="12"/>
  <c r="AH22" i="12"/>
  <c r="AJ22" i="12"/>
  <c r="AK22" i="12"/>
  <c r="AL22" i="12"/>
  <c r="AM22" i="12"/>
  <c r="G23" i="12"/>
  <c r="O23" i="12"/>
  <c r="I23" i="12" s="1"/>
  <c r="T23" i="12"/>
  <c r="T22" i="12" s="1"/>
  <c r="Y23" i="12"/>
  <c r="Y22" i="12" s="1"/>
  <c r="AD23" i="12"/>
  <c r="AD22" i="12" s="1"/>
  <c r="AI23" i="12"/>
  <c r="AI22" i="12" s="1"/>
  <c r="AN23" i="12"/>
  <c r="AN22" i="12" s="1"/>
  <c r="G24" i="12"/>
  <c r="O24" i="12"/>
  <c r="I24" i="12" s="1"/>
  <c r="T24" i="12"/>
  <c r="Y24" i="12"/>
  <c r="AD24" i="12"/>
  <c r="AI24" i="12"/>
  <c r="AN24" i="12"/>
  <c r="G25" i="12"/>
  <c r="O25" i="12"/>
  <c r="I25" i="12" s="1"/>
  <c r="T25" i="12"/>
  <c r="Y25" i="12"/>
  <c r="AD25" i="12"/>
  <c r="AI25" i="12"/>
  <c r="AN25" i="12"/>
  <c r="K26" i="12"/>
  <c r="L26" i="12"/>
  <c r="M26" i="12"/>
  <c r="N26" i="12"/>
  <c r="P26" i="12"/>
  <c r="Q26" i="12"/>
  <c r="R26" i="12"/>
  <c r="S26" i="12"/>
  <c r="U26" i="12"/>
  <c r="V26" i="12"/>
  <c r="W26" i="12"/>
  <c r="Z26" i="12"/>
  <c r="AA26" i="12"/>
  <c r="AB26" i="12"/>
  <c r="AE26" i="12"/>
  <c r="AF26" i="12"/>
  <c r="AG26" i="12"/>
  <c r="AJ26" i="12"/>
  <c r="AK26" i="12"/>
  <c r="AL26" i="12"/>
  <c r="G27" i="12"/>
  <c r="G26" i="12" s="1"/>
  <c r="O27" i="12"/>
  <c r="T27" i="12"/>
  <c r="T26" i="12" s="1"/>
  <c r="Y27" i="12"/>
  <c r="Y26" i="12" s="1"/>
  <c r="AD27" i="12"/>
  <c r="AD26" i="12" s="1"/>
  <c r="AI27" i="12"/>
  <c r="AI26" i="12" s="1"/>
  <c r="AN27" i="12"/>
  <c r="AN26" i="12" s="1"/>
  <c r="F28" i="12"/>
  <c r="G28" i="12"/>
  <c r="J28" i="12"/>
  <c r="J26" i="12" s="1"/>
  <c r="O28" i="12"/>
  <c r="I28" i="12" s="1"/>
  <c r="T28" i="12"/>
  <c r="X28" i="12"/>
  <c r="X26" i="12" s="1"/>
  <c r="Y28" i="12"/>
  <c r="AC28" i="12"/>
  <c r="AC26" i="12" s="1"/>
  <c r="AD28" i="12"/>
  <c r="AH28" i="12"/>
  <c r="AH26" i="12" s="1"/>
  <c r="AI28" i="12"/>
  <c r="AM28" i="12"/>
  <c r="AM26" i="12" s="1"/>
  <c r="AN28" i="12"/>
  <c r="J29" i="12"/>
  <c r="K29" i="12"/>
  <c r="L29" i="12"/>
  <c r="M29" i="12"/>
  <c r="N29" i="12"/>
  <c r="P29" i="12"/>
  <c r="Q29" i="12"/>
  <c r="R29" i="12"/>
  <c r="S29" i="12"/>
  <c r="U29" i="12"/>
  <c r="V29" i="12"/>
  <c r="W29" i="12"/>
  <c r="X29" i="12"/>
  <c r="Z29" i="12"/>
  <c r="AA29" i="12"/>
  <c r="AB29" i="12"/>
  <c r="AC29" i="12"/>
  <c r="AE29" i="12"/>
  <c r="AF29" i="12"/>
  <c r="AG29" i="12"/>
  <c r="AH29" i="12"/>
  <c r="AJ29" i="12"/>
  <c r="AK29" i="12"/>
  <c r="AL29" i="12"/>
  <c r="AM29" i="12"/>
  <c r="G30" i="12"/>
  <c r="G29" i="12" s="1"/>
  <c r="O30" i="12"/>
  <c r="T30" i="12"/>
  <c r="T29" i="12" s="1"/>
  <c r="Y30" i="12"/>
  <c r="Y29" i="12" s="1"/>
  <c r="AD30" i="12"/>
  <c r="AD29" i="12" s="1"/>
  <c r="AI30" i="12"/>
  <c r="AI29" i="12" s="1"/>
  <c r="AN30" i="12"/>
  <c r="AN29" i="12" s="1"/>
  <c r="G31" i="12"/>
  <c r="O31" i="12"/>
  <c r="I31" i="12" s="1"/>
  <c r="T31" i="12"/>
  <c r="Y31" i="12"/>
  <c r="AD31" i="12"/>
  <c r="AI31" i="12"/>
  <c r="AN31" i="12"/>
  <c r="G32" i="12"/>
  <c r="O32" i="12"/>
  <c r="I32" i="12" s="1"/>
  <c r="T32" i="12"/>
  <c r="Y32" i="12"/>
  <c r="AD32" i="12"/>
  <c r="AI32" i="12"/>
  <c r="AN32" i="12"/>
  <c r="G33" i="12"/>
  <c r="O33" i="12"/>
  <c r="I33" i="12" s="1"/>
  <c r="T33" i="12"/>
  <c r="Y33" i="12"/>
  <c r="AD33" i="12"/>
  <c r="AI33" i="12"/>
  <c r="AN33" i="12"/>
  <c r="G34" i="12"/>
  <c r="O34" i="12"/>
  <c r="I34" i="12" s="1"/>
  <c r="T34" i="12"/>
  <c r="Y34" i="12"/>
  <c r="AD34" i="12"/>
  <c r="AI34" i="12"/>
  <c r="AN34" i="12"/>
  <c r="G35" i="12"/>
  <c r="O35" i="12"/>
  <c r="I35" i="12" s="1"/>
  <c r="T35" i="12"/>
  <c r="Y35" i="12"/>
  <c r="AD35" i="12"/>
  <c r="AI35" i="12"/>
  <c r="AN35" i="12"/>
  <c r="G36" i="12"/>
  <c r="O36" i="12"/>
  <c r="I36" i="12" s="1"/>
  <c r="T36" i="12"/>
  <c r="Y36" i="12"/>
  <c r="AD36" i="12"/>
  <c r="AI36" i="12"/>
  <c r="AN36" i="12"/>
  <c r="G37" i="12"/>
  <c r="O37" i="12"/>
  <c r="I37" i="12" s="1"/>
  <c r="T37" i="12"/>
  <c r="Y37" i="12"/>
  <c r="AD37" i="12"/>
  <c r="AI37" i="12"/>
  <c r="AN37" i="12"/>
  <c r="G38" i="12"/>
  <c r="O38" i="12"/>
  <c r="I38" i="12" s="1"/>
  <c r="T38" i="12"/>
  <c r="Y38" i="12"/>
  <c r="AD38" i="12"/>
  <c r="AI38" i="12"/>
  <c r="AN38" i="12"/>
  <c r="D39" i="12"/>
  <c r="E39" i="12"/>
  <c r="F39" i="12"/>
  <c r="J39" i="12"/>
  <c r="K39" i="12"/>
  <c r="L39" i="12"/>
  <c r="M39" i="12"/>
  <c r="N39" i="12"/>
  <c r="P39" i="12"/>
  <c r="Q39" i="12"/>
  <c r="R39" i="12"/>
  <c r="S39" i="12"/>
  <c r="U39" i="12"/>
  <c r="V39" i="12"/>
  <c r="W39" i="12"/>
  <c r="X39" i="12"/>
  <c r="Z39" i="12"/>
  <c r="AA39" i="12"/>
  <c r="AB39" i="12"/>
  <c r="AC39" i="12"/>
  <c r="AE39" i="12"/>
  <c r="AF39" i="12"/>
  <c r="AG39" i="12"/>
  <c r="AH39" i="12"/>
  <c r="AJ39" i="12"/>
  <c r="AK39" i="12"/>
  <c r="AL39" i="12"/>
  <c r="AM39" i="12"/>
  <c r="G40" i="12"/>
  <c r="G39" i="12" s="1"/>
  <c r="O40" i="12"/>
  <c r="T40" i="12"/>
  <c r="T39" i="12" s="1"/>
  <c r="Y40" i="12"/>
  <c r="Y39" i="12" s="1"/>
  <c r="AD40" i="12"/>
  <c r="AD39" i="12" s="1"/>
  <c r="AI40" i="12"/>
  <c r="AI39" i="12" s="1"/>
  <c r="AN40" i="12"/>
  <c r="AN39" i="12" s="1"/>
  <c r="G42" i="12"/>
  <c r="G41" i="12" s="1"/>
  <c r="J42" i="12"/>
  <c r="J41" i="12" s="1"/>
  <c r="K42" i="12"/>
  <c r="K41" i="12" s="1"/>
  <c r="L42" i="12"/>
  <c r="L41" i="12" s="1"/>
  <c r="M42" i="12"/>
  <c r="M41" i="12" s="1"/>
  <c r="N42" i="12"/>
  <c r="N41" i="12" s="1"/>
  <c r="P42" i="12"/>
  <c r="P41" i="12" s="1"/>
  <c r="Q42" i="12"/>
  <c r="Q41" i="12" s="1"/>
  <c r="R42" i="12"/>
  <c r="R41" i="12" s="1"/>
  <c r="S42" i="12"/>
  <c r="S41" i="12" s="1"/>
  <c r="U42" i="12"/>
  <c r="U41" i="12" s="1"/>
  <c r="V42" i="12"/>
  <c r="V41" i="12" s="1"/>
  <c r="W42" i="12"/>
  <c r="W41" i="12" s="1"/>
  <c r="X42" i="12"/>
  <c r="X41" i="12" s="1"/>
  <c r="Z42" i="12"/>
  <c r="Z41" i="12" s="1"/>
  <c r="AA42" i="12"/>
  <c r="AA41" i="12" s="1"/>
  <c r="AB42" i="12"/>
  <c r="AB41" i="12" s="1"/>
  <c r="AC42" i="12"/>
  <c r="AC41" i="12" s="1"/>
  <c r="AE42" i="12"/>
  <c r="AE41" i="12" s="1"/>
  <c r="AF42" i="12"/>
  <c r="AF41" i="12" s="1"/>
  <c r="AG42" i="12"/>
  <c r="AG41" i="12" s="1"/>
  <c r="AH42" i="12"/>
  <c r="AH41" i="12" s="1"/>
  <c r="AJ42" i="12"/>
  <c r="AJ41" i="12" s="1"/>
  <c r="AK42" i="12"/>
  <c r="AK41" i="12" s="1"/>
  <c r="AL42" i="12"/>
  <c r="AL41" i="12" s="1"/>
  <c r="AM42" i="12"/>
  <c r="AM41" i="12" s="1"/>
  <c r="O43" i="12"/>
  <c r="T43" i="12"/>
  <c r="T42" i="12" s="1"/>
  <c r="T41" i="12" s="1"/>
  <c r="Y43" i="12"/>
  <c r="Y42" i="12" s="1"/>
  <c r="Y41" i="12" s="1"/>
  <c r="AD43" i="12"/>
  <c r="AD42" i="12" s="1"/>
  <c r="AD41" i="12" s="1"/>
  <c r="AI43" i="12"/>
  <c r="AI42" i="12" s="1"/>
  <c r="AI41" i="12" s="1"/>
  <c r="AN43" i="12"/>
  <c r="AN42" i="12" s="1"/>
  <c r="AN41" i="12" s="1"/>
  <c r="O44" i="12"/>
  <c r="I44" i="12" s="1"/>
  <c r="T44" i="12"/>
  <c r="Y44" i="12"/>
  <c r="AD44" i="12"/>
  <c r="AI44" i="12"/>
  <c r="AN44" i="12"/>
  <c r="O45" i="12"/>
  <c r="T45" i="12"/>
  <c r="I45" i="12" s="1"/>
  <c r="Y45" i="12"/>
  <c r="AD45" i="12"/>
  <c r="AI45" i="12"/>
  <c r="AN45" i="12"/>
  <c r="O46" i="12"/>
  <c r="I46" i="12" s="1"/>
  <c r="T46" i="12"/>
  <c r="Y46" i="12"/>
  <c r="AD46" i="12"/>
  <c r="AI46" i="12"/>
  <c r="AN46" i="12"/>
  <c r="G48" i="12"/>
  <c r="G47" i="12" s="1"/>
  <c r="J48" i="12"/>
  <c r="J47" i="12" s="1"/>
  <c r="K48" i="12"/>
  <c r="K47" i="12" s="1"/>
  <c r="L48" i="12"/>
  <c r="L47" i="12" s="1"/>
  <c r="M48" i="12"/>
  <c r="M47" i="12" s="1"/>
  <c r="N48" i="12"/>
  <c r="N47" i="12" s="1"/>
  <c r="P48" i="12"/>
  <c r="P47" i="12" s="1"/>
  <c r="Q48" i="12"/>
  <c r="Q47" i="12" s="1"/>
  <c r="R48" i="12"/>
  <c r="R47" i="12" s="1"/>
  <c r="S48" i="12"/>
  <c r="S47" i="12" s="1"/>
  <c r="U48" i="12"/>
  <c r="U47" i="12" s="1"/>
  <c r="V48" i="12"/>
  <c r="V47" i="12" s="1"/>
  <c r="W48" i="12"/>
  <c r="W47" i="12" s="1"/>
  <c r="X48" i="12"/>
  <c r="X47" i="12" s="1"/>
  <c r="Z48" i="12"/>
  <c r="Z47" i="12" s="1"/>
  <c r="AA48" i="12"/>
  <c r="AA47" i="12" s="1"/>
  <c r="AB48" i="12"/>
  <c r="AB47" i="12" s="1"/>
  <c r="AC48" i="12"/>
  <c r="AC47" i="12" s="1"/>
  <c r="AE48" i="12"/>
  <c r="AE47" i="12" s="1"/>
  <c r="AF48" i="12"/>
  <c r="AF47" i="12" s="1"/>
  <c r="AG48" i="12"/>
  <c r="AG47" i="12" s="1"/>
  <c r="AH48" i="12"/>
  <c r="AH47" i="12" s="1"/>
  <c r="AJ48" i="12"/>
  <c r="AJ47" i="12" s="1"/>
  <c r="AK48" i="12"/>
  <c r="AK47" i="12" s="1"/>
  <c r="AL48" i="12"/>
  <c r="AL47" i="12" s="1"/>
  <c r="AM48" i="12"/>
  <c r="AM47" i="12" s="1"/>
  <c r="O49" i="12"/>
  <c r="T49" i="12"/>
  <c r="T48" i="12" s="1"/>
  <c r="T47" i="12" s="1"/>
  <c r="Y49" i="12"/>
  <c r="Y48" i="12" s="1"/>
  <c r="Y47" i="12" s="1"/>
  <c r="AD49" i="12"/>
  <c r="AD48" i="12" s="1"/>
  <c r="AD47" i="12" s="1"/>
  <c r="AI49" i="12"/>
  <c r="AI48" i="12" s="1"/>
  <c r="AI47" i="12" s="1"/>
  <c r="AN49" i="12"/>
  <c r="AN48" i="12" s="1"/>
  <c r="AN47" i="12" s="1"/>
  <c r="G51" i="12"/>
  <c r="G50" i="12" s="1"/>
  <c r="K52" i="12"/>
  <c r="K51" i="12" s="1"/>
  <c r="K50" i="12" s="1"/>
  <c r="L52" i="12"/>
  <c r="L51" i="12" s="1"/>
  <c r="L50" i="12" s="1"/>
  <c r="M52" i="12"/>
  <c r="M51" i="12" s="1"/>
  <c r="M50" i="12" s="1"/>
  <c r="N52" i="12"/>
  <c r="N51" i="12" s="1"/>
  <c r="N50" i="12" s="1"/>
  <c r="P52" i="12"/>
  <c r="P51" i="12" s="1"/>
  <c r="P50" i="12" s="1"/>
  <c r="Q52" i="12"/>
  <c r="Q51" i="12" s="1"/>
  <c r="Q50" i="12" s="1"/>
  <c r="R52" i="12"/>
  <c r="R51" i="12" s="1"/>
  <c r="R50" i="12" s="1"/>
  <c r="S52" i="12"/>
  <c r="S51" i="12" s="1"/>
  <c r="S50" i="12" s="1"/>
  <c r="U52" i="12"/>
  <c r="U51" i="12" s="1"/>
  <c r="U50" i="12" s="1"/>
  <c r="V52" i="12"/>
  <c r="V51" i="12" s="1"/>
  <c r="V50" i="12" s="1"/>
  <c r="W52" i="12"/>
  <c r="W51" i="12" s="1"/>
  <c r="W50" i="12" s="1"/>
  <c r="X52" i="12"/>
  <c r="X51" i="12" s="1"/>
  <c r="X50" i="12" s="1"/>
  <c r="Z52" i="12"/>
  <c r="Z51" i="12" s="1"/>
  <c r="Z50" i="12" s="1"/>
  <c r="AA52" i="12"/>
  <c r="AA51" i="12" s="1"/>
  <c r="AA50" i="12" s="1"/>
  <c r="AB52" i="12"/>
  <c r="AB51" i="12" s="1"/>
  <c r="AB50" i="12" s="1"/>
  <c r="AC52" i="12"/>
  <c r="AC51" i="12" s="1"/>
  <c r="AC50" i="12" s="1"/>
  <c r="AE52" i="12"/>
  <c r="AE51" i="12" s="1"/>
  <c r="AE50" i="12" s="1"/>
  <c r="AF52" i="12"/>
  <c r="AF51" i="12" s="1"/>
  <c r="AF50" i="12" s="1"/>
  <c r="AG52" i="12"/>
  <c r="AG51" i="12" s="1"/>
  <c r="AG50" i="12" s="1"/>
  <c r="AH52" i="12"/>
  <c r="AH51" i="12" s="1"/>
  <c r="AH50" i="12" s="1"/>
  <c r="AJ52" i="12"/>
  <c r="AJ51" i="12" s="1"/>
  <c r="AJ50" i="12" s="1"/>
  <c r="AK52" i="12"/>
  <c r="AK51" i="12" s="1"/>
  <c r="AK50" i="12" s="1"/>
  <c r="AL52" i="12"/>
  <c r="AL51" i="12" s="1"/>
  <c r="AL50" i="12" s="1"/>
  <c r="AM52" i="12"/>
  <c r="AM51" i="12" s="1"/>
  <c r="AM50" i="12" s="1"/>
  <c r="J53" i="12"/>
  <c r="J52" i="12" s="1"/>
  <c r="O53" i="12"/>
  <c r="T53" i="12"/>
  <c r="T52" i="12" s="1"/>
  <c r="Y53" i="12"/>
  <c r="Y52" i="12" s="1"/>
  <c r="AD53" i="12"/>
  <c r="AD52" i="12" s="1"/>
  <c r="AI53" i="12"/>
  <c r="AI52" i="12" s="1"/>
  <c r="AN53" i="12"/>
  <c r="AN52" i="12" s="1"/>
  <c r="O54" i="12"/>
  <c r="I54" i="12" s="1"/>
  <c r="T54" i="12"/>
  <c r="Y54" i="12"/>
  <c r="AD54" i="12"/>
  <c r="AI54" i="12"/>
  <c r="AN54" i="12"/>
  <c r="J55" i="12"/>
  <c r="O55" i="12"/>
  <c r="I55" i="12" s="1"/>
  <c r="T55" i="12"/>
  <c r="Y55" i="12"/>
  <c r="AD55" i="12"/>
  <c r="AI55" i="12"/>
  <c r="AN55" i="12"/>
  <c r="K56" i="12"/>
  <c r="L56" i="12"/>
  <c r="M56" i="12"/>
  <c r="N56" i="12"/>
  <c r="P56" i="12"/>
  <c r="Q56" i="12"/>
  <c r="R56" i="12"/>
  <c r="S56" i="12"/>
  <c r="U56" i="12"/>
  <c r="V56" i="12"/>
  <c r="W56" i="12"/>
  <c r="X56" i="12"/>
  <c r="Z56" i="12"/>
  <c r="AA56" i="12"/>
  <c r="AB56" i="12"/>
  <c r="AC56" i="12"/>
  <c r="AE56" i="12"/>
  <c r="AF56" i="12"/>
  <c r="AG56" i="12"/>
  <c r="AH56" i="12"/>
  <c r="AJ56" i="12"/>
  <c r="AK56" i="12"/>
  <c r="AL56" i="12"/>
  <c r="AM56" i="12"/>
  <c r="J57" i="12"/>
  <c r="J56" i="12" s="1"/>
  <c r="O57" i="12"/>
  <c r="T57" i="12"/>
  <c r="T56" i="12" s="1"/>
  <c r="Y57" i="12"/>
  <c r="Y56" i="12" s="1"/>
  <c r="AD57" i="12"/>
  <c r="AD56" i="12" s="1"/>
  <c r="AI57" i="12"/>
  <c r="AI56" i="12" s="1"/>
  <c r="AN57" i="12"/>
  <c r="AN56" i="12" s="1"/>
  <c r="O58" i="12"/>
  <c r="I58" i="12" s="1"/>
  <c r="T58" i="12"/>
  <c r="Y58" i="12"/>
  <c r="AD58" i="12"/>
  <c r="AI58" i="12"/>
  <c r="AN58" i="12"/>
  <c r="J59" i="12"/>
  <c r="O59" i="12"/>
  <c r="I59" i="12" s="1"/>
  <c r="T59" i="12"/>
  <c r="Y59" i="12"/>
  <c r="AD59" i="12"/>
  <c r="AI59" i="12"/>
  <c r="AN59" i="12"/>
  <c r="G61" i="12"/>
  <c r="G60" i="12" s="1"/>
  <c r="K61" i="12"/>
  <c r="K60" i="12" s="1"/>
  <c r="L61" i="12"/>
  <c r="L60" i="12" s="1"/>
  <c r="M61" i="12"/>
  <c r="M60" i="12" s="1"/>
  <c r="N61" i="12"/>
  <c r="N60" i="12" s="1"/>
  <c r="P61" i="12"/>
  <c r="P60" i="12" s="1"/>
  <c r="Q61" i="12"/>
  <c r="Q60" i="12" s="1"/>
  <c r="R61" i="12"/>
  <c r="R60" i="12" s="1"/>
  <c r="S61" i="12"/>
  <c r="S60" i="12" s="1"/>
  <c r="U61" i="12"/>
  <c r="U60" i="12" s="1"/>
  <c r="V61" i="12"/>
  <c r="V60" i="12" s="1"/>
  <c r="W61" i="12"/>
  <c r="W60" i="12" s="1"/>
  <c r="W66" i="12" s="1"/>
  <c r="X61" i="12"/>
  <c r="X60" i="12" s="1"/>
  <c r="Z61" i="12"/>
  <c r="Z60" i="12" s="1"/>
  <c r="Z66" i="12" s="1"/>
  <c r="AA61" i="12"/>
  <c r="AA60" i="12" s="1"/>
  <c r="AA66" i="12" s="1"/>
  <c r="AB61" i="12"/>
  <c r="AB60" i="12" s="1"/>
  <c r="AB66" i="12" s="1"/>
  <c r="AC61" i="12"/>
  <c r="AC60" i="12" s="1"/>
  <c r="AE61" i="12"/>
  <c r="AE60" i="12" s="1"/>
  <c r="AF61" i="12"/>
  <c r="AF60" i="12" s="1"/>
  <c r="AG61" i="12"/>
  <c r="AG60" i="12" s="1"/>
  <c r="AH61" i="12"/>
  <c r="AH60" i="12" s="1"/>
  <c r="AJ61" i="12"/>
  <c r="AJ60" i="12" s="1"/>
  <c r="AK61" i="12"/>
  <c r="AK60" i="12" s="1"/>
  <c r="AL61" i="12"/>
  <c r="AL60" i="12" s="1"/>
  <c r="AM61" i="12"/>
  <c r="AM60" i="12" s="1"/>
  <c r="O62" i="12"/>
  <c r="T62" i="12"/>
  <c r="T61" i="12" s="1"/>
  <c r="T60" i="12" s="1"/>
  <c r="Y62" i="12"/>
  <c r="Y61" i="12" s="1"/>
  <c r="Y60" i="12" s="1"/>
  <c r="AD62" i="12"/>
  <c r="AD61" i="12" s="1"/>
  <c r="AD60" i="12" s="1"/>
  <c r="AI62" i="12"/>
  <c r="AI61" i="12" s="1"/>
  <c r="AI60" i="12" s="1"/>
  <c r="AN62" i="12"/>
  <c r="AN61" i="12" s="1"/>
  <c r="AN60" i="12" s="1"/>
  <c r="J63" i="12"/>
  <c r="J61" i="12" s="1"/>
  <c r="J60" i="12" s="1"/>
  <c r="T63" i="12"/>
  <c r="I63" i="12" s="1"/>
  <c r="Y63" i="12"/>
  <c r="AD63" i="12"/>
  <c r="AI63" i="12"/>
  <c r="J5" i="12"/>
  <c r="K5" i="12"/>
  <c r="L5" i="12"/>
  <c r="M5" i="12"/>
  <c r="N5" i="12"/>
  <c r="O5" i="12"/>
  <c r="P5" i="12"/>
  <c r="Q5" i="12"/>
  <c r="R5" i="12"/>
  <c r="S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AJ5" i="12"/>
  <c r="AK5" i="12"/>
  <c r="AL5" i="12"/>
  <c r="AM5" i="12"/>
  <c r="AN5" i="12"/>
  <c r="G7" i="12"/>
  <c r="O7" i="12"/>
  <c r="T7" i="12"/>
  <c r="Y7" i="12"/>
  <c r="AD7" i="12"/>
  <c r="AI7" i="12"/>
  <c r="AN7" i="12"/>
  <c r="I8" i="12"/>
  <c r="O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AJ8" i="12"/>
  <c r="AK8" i="12"/>
  <c r="AL8" i="12"/>
  <c r="AM8" i="12"/>
  <c r="AN8" i="12"/>
  <c r="K24" i="8"/>
  <c r="K25" i="8"/>
  <c r="AH62" i="4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4" i="8"/>
  <c r="AD28" i="4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T8" i="5"/>
  <c r="C24" i="9"/>
  <c r="AE8" i="4"/>
  <c r="AF8" i="4"/>
  <c r="AG8" i="4"/>
  <c r="AH8" i="4"/>
  <c r="AJ8" i="4"/>
  <c r="AK8" i="4"/>
  <c r="AL8" i="4"/>
  <c r="AM8" i="4"/>
  <c r="AN8" i="4"/>
  <c r="AC8" i="4"/>
  <c r="AB8" i="4"/>
  <c r="AA8" i="4"/>
  <c r="Z8" i="4"/>
  <c r="P8" i="4"/>
  <c r="Q8" i="4"/>
  <c r="R8" i="4"/>
  <c r="S8" i="4"/>
  <c r="T8" i="4"/>
  <c r="U8" i="4"/>
  <c r="V8" i="4"/>
  <c r="W8" i="4"/>
  <c r="X8" i="4"/>
  <c r="Y8" i="4"/>
  <c r="AE21" i="1" s="1"/>
  <c r="AE24" i="1" s="1"/>
  <c r="AE88" i="1" s="1"/>
  <c r="F42" i="1"/>
  <c r="G42" i="1"/>
  <c r="H42" i="1" s="1"/>
  <c r="Q76" i="1"/>
  <c r="Q75" i="1" s="1"/>
  <c r="F77" i="1"/>
  <c r="F76" i="1"/>
  <c r="I49" i="5"/>
  <c r="I46" i="5"/>
  <c r="I45" i="5"/>
  <c r="I44" i="5"/>
  <c r="I43" i="5"/>
  <c r="I40" i="5"/>
  <c r="I38" i="5"/>
  <c r="I37" i="5"/>
  <c r="I36" i="5"/>
  <c r="I35" i="5"/>
  <c r="I34" i="5"/>
  <c r="I33" i="5"/>
  <c r="I32" i="5"/>
  <c r="I31" i="5"/>
  <c r="I30" i="5"/>
  <c r="I28" i="5"/>
  <c r="I17" i="5"/>
  <c r="I18" i="5"/>
  <c r="I19" i="5"/>
  <c r="I20" i="5"/>
  <c r="I21" i="5"/>
  <c r="S17" i="8"/>
  <c r="S19" i="8"/>
  <c r="S21" i="8"/>
  <c r="S23" i="8"/>
  <c r="AO89" i="1"/>
  <c r="AL89" i="1"/>
  <c r="AC89" i="1"/>
  <c r="Z89" i="1"/>
  <c r="Z88" i="1"/>
  <c r="AF89" i="1"/>
  <c r="AI89" i="1"/>
  <c r="Y24" i="1"/>
  <c r="Z24" i="1"/>
  <c r="AC24" i="1"/>
  <c r="AF24" i="1"/>
  <c r="AI24" i="1"/>
  <c r="AL24" i="1"/>
  <c r="AO24" i="1"/>
  <c r="X24" i="1"/>
  <c r="Y88" i="1"/>
  <c r="X88" i="1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AG5" i="4"/>
  <c r="AH5" i="4"/>
  <c r="AI5" i="4"/>
  <c r="AJ5" i="4"/>
  <c r="AK5" i="4"/>
  <c r="AL5" i="4"/>
  <c r="AM5" i="4"/>
  <c r="AN5" i="4"/>
  <c r="I5" i="4"/>
  <c r="AA21" i="1"/>
  <c r="AA24" i="1" s="1"/>
  <c r="AA88" i="1" s="1"/>
  <c r="AM77" i="1"/>
  <c r="AM73" i="1"/>
  <c r="AM72" i="1"/>
  <c r="AM71" i="1"/>
  <c r="AM69" i="1"/>
  <c r="AM68" i="1"/>
  <c r="AM67" i="1"/>
  <c r="AN63" i="1"/>
  <c r="AM63" i="1"/>
  <c r="AN60" i="1"/>
  <c r="AM60" i="1"/>
  <c r="AN59" i="1"/>
  <c r="AM59" i="1"/>
  <c r="AN58" i="1"/>
  <c r="AM58" i="1"/>
  <c r="AM57" i="1"/>
  <c r="AN54" i="1"/>
  <c r="AM54" i="1"/>
  <c r="AN52" i="1"/>
  <c r="AM52" i="1"/>
  <c r="AN51" i="1"/>
  <c r="AM51" i="1"/>
  <c r="AN50" i="1"/>
  <c r="AM50" i="1"/>
  <c r="AN49" i="1"/>
  <c r="AM49" i="1"/>
  <c r="AN48" i="1"/>
  <c r="AM48" i="1"/>
  <c r="AN47" i="1"/>
  <c r="AM47" i="1"/>
  <c r="AN46" i="1"/>
  <c r="AM46" i="1"/>
  <c r="AN45" i="1"/>
  <c r="AM45" i="1"/>
  <c r="AN44" i="1"/>
  <c r="AM44" i="1"/>
  <c r="AN42" i="1"/>
  <c r="AM42" i="1"/>
  <c r="AN41" i="1"/>
  <c r="AN39" i="1"/>
  <c r="AN38" i="1"/>
  <c r="AN37" i="1"/>
  <c r="AN35" i="1"/>
  <c r="AM35" i="1"/>
  <c r="AN34" i="1"/>
  <c r="AM34" i="1"/>
  <c r="AN33" i="1"/>
  <c r="AM33" i="1"/>
  <c r="AN32" i="1"/>
  <c r="AM32" i="1"/>
  <c r="AN31" i="1"/>
  <c r="AM31" i="1"/>
  <c r="AN30" i="1"/>
  <c r="AM30" i="1"/>
  <c r="AK77" i="1"/>
  <c r="AH77" i="1"/>
  <c r="AE77" i="1"/>
  <c r="AB77" i="1"/>
  <c r="AG77" i="1"/>
  <c r="AG76" i="1"/>
  <c r="AD77" i="1"/>
  <c r="AD76" i="1"/>
  <c r="AA77" i="1"/>
  <c r="AA76" i="1"/>
  <c r="AA75" i="1" s="1"/>
  <c r="X77" i="1"/>
  <c r="X76" i="1"/>
  <c r="R77" i="1"/>
  <c r="L61" i="4"/>
  <c r="M61" i="4"/>
  <c r="N61" i="4"/>
  <c r="P61" i="4"/>
  <c r="Q61" i="4"/>
  <c r="J63" i="4"/>
  <c r="J61" i="4"/>
  <c r="AN7" i="4"/>
  <c r="AI7" i="4"/>
  <c r="AI8" i="4" s="1"/>
  <c r="AD7" i="4"/>
  <c r="AD8" i="4" s="1"/>
  <c r="Y7" i="4"/>
  <c r="T7" i="4"/>
  <c r="O7" i="4"/>
  <c r="AN62" i="4"/>
  <c r="AN61" i="4" s="1"/>
  <c r="AN59" i="4"/>
  <c r="AN58" i="4"/>
  <c r="AN57" i="4"/>
  <c r="AN56" i="4"/>
  <c r="AM56" i="4"/>
  <c r="AL56" i="4"/>
  <c r="AK56" i="4"/>
  <c r="AJ56" i="4"/>
  <c r="AN55" i="4"/>
  <c r="AN54" i="4"/>
  <c r="AN53" i="4"/>
  <c r="AM52" i="4"/>
  <c r="AM51" i="4" s="1"/>
  <c r="AM50" i="4" s="1"/>
  <c r="AL52" i="4"/>
  <c r="AK52" i="4"/>
  <c r="AJ52" i="4"/>
  <c r="AL51" i="4"/>
  <c r="AK51" i="4"/>
  <c r="AJ51" i="4"/>
  <c r="AL50" i="4"/>
  <c r="AK50" i="4"/>
  <c r="AJ50" i="4"/>
  <c r="AN49" i="4"/>
  <c r="AN48" i="4"/>
  <c r="AM48" i="4"/>
  <c r="AM47" i="4" s="1"/>
  <c r="AL48" i="4"/>
  <c r="AL47" i="4" s="1"/>
  <c r="AK48" i="4"/>
  <c r="AK47" i="4" s="1"/>
  <c r="AJ48" i="4"/>
  <c r="AJ47" i="4" s="1"/>
  <c r="AN47" i="4"/>
  <c r="AN46" i="4"/>
  <c r="AN45" i="4"/>
  <c r="AN44" i="4"/>
  <c r="AN43" i="4"/>
  <c r="AM42" i="4"/>
  <c r="AL42" i="4"/>
  <c r="AK42" i="4"/>
  <c r="AJ42" i="4"/>
  <c r="AM41" i="4"/>
  <c r="AL41" i="4"/>
  <c r="AK41" i="4"/>
  <c r="AJ41" i="4"/>
  <c r="AN40" i="4"/>
  <c r="AN39" i="4" s="1"/>
  <c r="AM39" i="4"/>
  <c r="AL39" i="4"/>
  <c r="AK39" i="4"/>
  <c r="AJ39" i="4"/>
  <c r="AN38" i="4"/>
  <c r="AN37" i="4"/>
  <c r="AN36" i="4"/>
  <c r="AN35" i="4"/>
  <c r="AN34" i="4"/>
  <c r="AN33" i="4"/>
  <c r="AN32" i="4"/>
  <c r="AN31" i="4"/>
  <c r="AN30" i="4"/>
  <c r="AN29" i="4"/>
  <c r="AM29" i="4"/>
  <c r="AL29" i="4"/>
  <c r="AK29" i="4"/>
  <c r="AJ29" i="4"/>
  <c r="AN27" i="4"/>
  <c r="AN26" i="4"/>
  <c r="AM26" i="4"/>
  <c r="AL26" i="4"/>
  <c r="AK26" i="4"/>
  <c r="AJ26" i="4"/>
  <c r="AN25" i="4"/>
  <c r="AN24" i="4"/>
  <c r="AN23" i="4"/>
  <c r="AN22" i="4" s="1"/>
  <c r="AM22" i="4"/>
  <c r="AL22" i="4"/>
  <c r="AK22" i="4"/>
  <c r="AJ22" i="4"/>
  <c r="AN21" i="4"/>
  <c r="AN20" i="4"/>
  <c r="AN19" i="4"/>
  <c r="AN18" i="4"/>
  <c r="AN17" i="4"/>
  <c r="AN16" i="4"/>
  <c r="AM15" i="4"/>
  <c r="AL15" i="4"/>
  <c r="AK15" i="4"/>
  <c r="AJ15" i="4"/>
  <c r="O8" i="4"/>
  <c r="G7" i="4"/>
  <c r="O8" i="5"/>
  <c r="J5" i="5"/>
  <c r="K5" i="5"/>
  <c r="L5" i="5"/>
  <c r="M5" i="5"/>
  <c r="N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O5" i="5"/>
  <c r="AI63" i="5"/>
  <c r="J63" i="5"/>
  <c r="J61" i="5" s="1"/>
  <c r="O7" i="5"/>
  <c r="AI7" i="5"/>
  <c r="AD7" i="5"/>
  <c r="Y7" i="5"/>
  <c r="T7" i="5"/>
  <c r="K26" i="5"/>
  <c r="L26" i="5"/>
  <c r="M26" i="5"/>
  <c r="N26" i="5"/>
  <c r="P26" i="5"/>
  <c r="Q26" i="5"/>
  <c r="R26" i="5"/>
  <c r="S26" i="5"/>
  <c r="U26" i="5"/>
  <c r="V26" i="5"/>
  <c r="W26" i="5"/>
  <c r="Z26" i="5"/>
  <c r="AA26" i="5"/>
  <c r="AB26" i="5"/>
  <c r="AE26" i="5"/>
  <c r="AF26" i="5"/>
  <c r="AG26" i="5"/>
  <c r="AJ26" i="5"/>
  <c r="AK26" i="5"/>
  <c r="AL26" i="5"/>
  <c r="K61" i="5"/>
  <c r="L61" i="5"/>
  <c r="M61" i="5"/>
  <c r="N61" i="5"/>
  <c r="P61" i="5"/>
  <c r="Q61" i="5"/>
  <c r="R61" i="5"/>
  <c r="S61" i="5"/>
  <c r="U61" i="5"/>
  <c r="V61" i="5"/>
  <c r="W61" i="5"/>
  <c r="X61" i="5"/>
  <c r="Z61" i="5"/>
  <c r="AA61" i="5"/>
  <c r="AB61" i="5"/>
  <c r="AC61" i="5"/>
  <c r="AE61" i="5"/>
  <c r="AF61" i="5"/>
  <c r="AG61" i="5"/>
  <c r="AH61" i="5"/>
  <c r="AJ61" i="5"/>
  <c r="AJ60" i="5" s="1"/>
  <c r="AK61" i="5"/>
  <c r="AK60" i="5" s="1"/>
  <c r="AL61" i="5"/>
  <c r="AL60" i="5" s="1"/>
  <c r="AM61" i="5"/>
  <c r="AM60" i="5" s="1"/>
  <c r="T63" i="5"/>
  <c r="Y63" i="5"/>
  <c r="AD63" i="5"/>
  <c r="AI62" i="5"/>
  <c r="AJ76" i="1" s="1"/>
  <c r="AD62" i="5"/>
  <c r="Y62" i="5"/>
  <c r="T62" i="5"/>
  <c r="O62" i="5"/>
  <c r="G7" i="5"/>
  <c r="V56" i="5"/>
  <c r="W56" i="5"/>
  <c r="X56" i="5"/>
  <c r="Z56" i="5"/>
  <c r="AA56" i="5"/>
  <c r="AB56" i="5"/>
  <c r="AD27" i="5"/>
  <c r="AC28" i="5"/>
  <c r="AD28" i="5" s="1"/>
  <c r="AH28" i="5"/>
  <c r="AI28" i="5" s="1"/>
  <c r="AM28" i="5"/>
  <c r="AM26" i="5" s="1"/>
  <c r="O28" i="5"/>
  <c r="X28" i="5"/>
  <c r="X26" i="5" s="1"/>
  <c r="T28" i="5"/>
  <c r="J28" i="5"/>
  <c r="J26" i="5" s="1"/>
  <c r="F28" i="5"/>
  <c r="G28" i="5" s="1"/>
  <c r="AN62" i="5"/>
  <c r="AN59" i="5"/>
  <c r="AN58" i="5"/>
  <c r="AN57" i="5"/>
  <c r="AM56" i="5"/>
  <c r="AL56" i="5"/>
  <c r="AK56" i="5"/>
  <c r="AJ56" i="5"/>
  <c r="AN55" i="5"/>
  <c r="AN54" i="5"/>
  <c r="AN53" i="5"/>
  <c r="AM52" i="5"/>
  <c r="AL52" i="5"/>
  <c r="AK52" i="5"/>
  <c r="AJ52" i="5"/>
  <c r="AN49" i="5"/>
  <c r="AN48" i="5" s="1"/>
  <c r="AN47" i="5" s="1"/>
  <c r="AM48" i="5"/>
  <c r="AM47" i="5" s="1"/>
  <c r="AL48" i="5"/>
  <c r="AL47" i="5" s="1"/>
  <c r="AK48" i="5"/>
  <c r="AK47" i="5" s="1"/>
  <c r="AJ48" i="5"/>
  <c r="AJ47" i="5"/>
  <c r="AN46" i="5"/>
  <c r="AN45" i="5"/>
  <c r="AN44" i="5"/>
  <c r="AN43" i="5"/>
  <c r="AM42" i="5"/>
  <c r="AM41" i="5" s="1"/>
  <c r="AL42" i="5"/>
  <c r="AL41" i="5" s="1"/>
  <c r="AK42" i="5"/>
  <c r="AK41" i="5" s="1"/>
  <c r="AJ42" i="5"/>
  <c r="AJ41" i="5" s="1"/>
  <c r="AN40" i="5"/>
  <c r="AN39" i="5" s="1"/>
  <c r="AM39" i="5"/>
  <c r="AL39" i="5"/>
  <c r="AK39" i="5"/>
  <c r="AJ39" i="5"/>
  <c r="AN38" i="5"/>
  <c r="AN37" i="5"/>
  <c r="AN36" i="5"/>
  <c r="AN35" i="5"/>
  <c r="AN34" i="5"/>
  <c r="AN33" i="5"/>
  <c r="AN32" i="5"/>
  <c r="AN31" i="5"/>
  <c r="AN30" i="5"/>
  <c r="AM29" i="5"/>
  <c r="AL29" i="5"/>
  <c r="AK29" i="5"/>
  <c r="AJ29" i="5"/>
  <c r="AN27" i="5"/>
  <c r="AN25" i="5"/>
  <c r="AN24" i="5"/>
  <c r="AN23" i="5"/>
  <c r="AM22" i="5"/>
  <c r="AL22" i="5"/>
  <c r="AK22" i="5"/>
  <c r="AJ22" i="5"/>
  <c r="AN21" i="5"/>
  <c r="AN20" i="5"/>
  <c r="AN19" i="5"/>
  <c r="AN18" i="5"/>
  <c r="AN17" i="5"/>
  <c r="AN16" i="5"/>
  <c r="AM15" i="5"/>
  <c r="AL15" i="5"/>
  <c r="AK15" i="5"/>
  <c r="AJ15" i="5"/>
  <c r="C80" i="11"/>
  <c r="C81" i="11" s="1"/>
  <c r="E81" i="11" s="1"/>
  <c r="C72" i="11"/>
  <c r="C73" i="11" s="1"/>
  <c r="C71" i="11"/>
  <c r="C70" i="11"/>
  <c r="AI63" i="11"/>
  <c r="AI62" i="11" s="1"/>
  <c r="AH63" i="11"/>
  <c r="AH62" i="11" s="1"/>
  <c r="AG63" i="11"/>
  <c r="AG62" i="11" s="1"/>
  <c r="AF63" i="11"/>
  <c r="AF62" i="11" s="1"/>
  <c r="AE63" i="11"/>
  <c r="AE62" i="11" s="1"/>
  <c r="AD63" i="11"/>
  <c r="AD62" i="11" s="1"/>
  <c r="AC63" i="11"/>
  <c r="AC62" i="11" s="1"/>
  <c r="AB63" i="11"/>
  <c r="AB62" i="11" s="1"/>
  <c r="AA63" i="11"/>
  <c r="AA62" i="11" s="1"/>
  <c r="Z63" i="11"/>
  <c r="Z62" i="11" s="1"/>
  <c r="Y63" i="11"/>
  <c r="Y62" i="11" s="1"/>
  <c r="X63" i="11"/>
  <c r="X62" i="11" s="1"/>
  <c r="W63" i="11"/>
  <c r="W62" i="11" s="1"/>
  <c r="V63" i="11"/>
  <c r="V62" i="11" s="1"/>
  <c r="U63" i="11"/>
  <c r="U62" i="11" s="1"/>
  <c r="T63" i="11"/>
  <c r="T62" i="11" s="1"/>
  <c r="S63" i="11"/>
  <c r="S62" i="11" s="1"/>
  <c r="R63" i="11"/>
  <c r="R62" i="11" s="1"/>
  <c r="Q63" i="11"/>
  <c r="Q62" i="11" s="1"/>
  <c r="O63" i="11"/>
  <c r="O62" i="11" s="1"/>
  <c r="N63" i="11"/>
  <c r="N62" i="11" s="1"/>
  <c r="M63" i="11"/>
  <c r="M62" i="11" s="1"/>
  <c r="K63" i="11"/>
  <c r="K62" i="11" s="1"/>
  <c r="F59" i="11"/>
  <c r="AI55" i="11"/>
  <c r="AD55" i="11"/>
  <c r="Y55" i="11"/>
  <c r="T55" i="11"/>
  <c r="O55" i="11"/>
  <c r="AI54" i="11"/>
  <c r="AI53" i="11" s="1"/>
  <c r="AI52" i="11" s="1"/>
  <c r="AD54" i="11"/>
  <c r="AD53" i="11" s="1"/>
  <c r="AD52" i="11" s="1"/>
  <c r="Y54" i="11"/>
  <c r="Y53" i="11" s="1"/>
  <c r="Y52" i="11" s="1"/>
  <c r="G54" i="11"/>
  <c r="G53" i="11" s="1"/>
  <c r="G52" i="11" s="1"/>
  <c r="AH53" i="11"/>
  <c r="AH52" i="11" s="1"/>
  <c r="AG53" i="11"/>
  <c r="AG52" i="11" s="1"/>
  <c r="AF53" i="11"/>
  <c r="AF52" i="11" s="1"/>
  <c r="AE53" i="11"/>
  <c r="AE52" i="11" s="1"/>
  <c r="AC53" i="11"/>
  <c r="AC52" i="11" s="1"/>
  <c r="AB53" i="11"/>
  <c r="AB52" i="11" s="1"/>
  <c r="AA53" i="11"/>
  <c r="AA52" i="11" s="1"/>
  <c r="Z53" i="11"/>
  <c r="Z52" i="11" s="1"/>
  <c r="X53" i="11"/>
  <c r="X52" i="11" s="1"/>
  <c r="W53" i="11"/>
  <c r="W52" i="11" s="1"/>
  <c r="V53" i="11"/>
  <c r="V52" i="11" s="1"/>
  <c r="U53" i="11"/>
  <c r="U52" i="11" s="1"/>
  <c r="T53" i="11"/>
  <c r="T52" i="11" s="1"/>
  <c r="S53" i="11"/>
  <c r="S52" i="11" s="1"/>
  <c r="R53" i="11"/>
  <c r="R52" i="11" s="1"/>
  <c r="Q53" i="11"/>
  <c r="Q52" i="11" s="1"/>
  <c r="N53" i="11"/>
  <c r="N52" i="11" s="1"/>
  <c r="M53" i="11"/>
  <c r="M52" i="11" s="1"/>
  <c r="K53" i="11"/>
  <c r="K52" i="11" s="1"/>
  <c r="AI51" i="11"/>
  <c r="AD51" i="11"/>
  <c r="Y51" i="11"/>
  <c r="T51" i="11"/>
  <c r="O51" i="11"/>
  <c r="J51" i="11"/>
  <c r="AI50" i="11"/>
  <c r="AD50" i="11"/>
  <c r="Y50" i="11"/>
  <c r="T50" i="11"/>
  <c r="O50" i="11"/>
  <c r="AI49" i="11"/>
  <c r="AD49" i="11"/>
  <c r="Y49" i="11"/>
  <c r="T49" i="11"/>
  <c r="O49" i="11"/>
  <c r="J49" i="11"/>
  <c r="AH48" i="11"/>
  <c r="AG48" i="11"/>
  <c r="AF48" i="11"/>
  <c r="AE48" i="11"/>
  <c r="AC48" i="11"/>
  <c r="AB48" i="11"/>
  <c r="AA48" i="11"/>
  <c r="Z48" i="11"/>
  <c r="X48" i="11"/>
  <c r="W48" i="11"/>
  <c r="V48" i="11"/>
  <c r="U48" i="11"/>
  <c r="S48" i="11"/>
  <c r="R48" i="11"/>
  <c r="Q48" i="11"/>
  <c r="P48" i="11"/>
  <c r="N48" i="11"/>
  <c r="M48" i="11"/>
  <c r="L48" i="11"/>
  <c r="K48" i="11"/>
  <c r="AI47" i="11"/>
  <c r="AD47" i="11"/>
  <c r="Y47" i="11"/>
  <c r="T47" i="11"/>
  <c r="O47" i="11"/>
  <c r="J47" i="11"/>
  <c r="AI46" i="11"/>
  <c r="AD46" i="11"/>
  <c r="Y46" i="11"/>
  <c r="T46" i="11"/>
  <c r="O46" i="11"/>
  <c r="AI45" i="11"/>
  <c r="AD45" i="11"/>
  <c r="Y45" i="11"/>
  <c r="T45" i="11"/>
  <c r="O45" i="11"/>
  <c r="J45" i="11"/>
  <c r="AH44" i="11"/>
  <c r="AG44" i="11"/>
  <c r="AF44" i="11"/>
  <c r="AE44" i="11"/>
  <c r="AC44" i="11"/>
  <c r="AB44" i="11"/>
  <c r="AA44" i="11"/>
  <c r="Z44" i="11"/>
  <c r="X44" i="11"/>
  <c r="W44" i="11"/>
  <c r="V44" i="11"/>
  <c r="U44" i="11"/>
  <c r="S44" i="11"/>
  <c r="R44" i="11"/>
  <c r="Q44" i="11"/>
  <c r="P44" i="11"/>
  <c r="N44" i="11"/>
  <c r="M44" i="11"/>
  <c r="L44" i="11"/>
  <c r="K44" i="11"/>
  <c r="G43" i="11"/>
  <c r="G42" i="11" s="1"/>
  <c r="AI41" i="11"/>
  <c r="AI40" i="11" s="1"/>
  <c r="AI39" i="11" s="1"/>
  <c r="AD41" i="11"/>
  <c r="AD40" i="11" s="1"/>
  <c r="AD39" i="11" s="1"/>
  <c r="Y41" i="11"/>
  <c r="Y40" i="11" s="1"/>
  <c r="Y39" i="11" s="1"/>
  <c r="T41" i="11"/>
  <c r="T40" i="11" s="1"/>
  <c r="T39" i="11" s="1"/>
  <c r="O41" i="11"/>
  <c r="O40" i="11" s="1"/>
  <c r="O39" i="11" s="1"/>
  <c r="AH40" i="11"/>
  <c r="AH39" i="11" s="1"/>
  <c r="AG40" i="11"/>
  <c r="AG39" i="11" s="1"/>
  <c r="AF40" i="11"/>
  <c r="AF39" i="11" s="1"/>
  <c r="AE40" i="11"/>
  <c r="AE39" i="11" s="1"/>
  <c r="AC40" i="11"/>
  <c r="AC39" i="11" s="1"/>
  <c r="AB40" i="11"/>
  <c r="AB39" i="11" s="1"/>
  <c r="AA40" i="11"/>
  <c r="AA39" i="11" s="1"/>
  <c r="Z40" i="11"/>
  <c r="Z39" i="11" s="1"/>
  <c r="X40" i="11"/>
  <c r="X39" i="11" s="1"/>
  <c r="W40" i="11"/>
  <c r="W39" i="11" s="1"/>
  <c r="V40" i="11"/>
  <c r="V39" i="11" s="1"/>
  <c r="U40" i="11"/>
  <c r="U39" i="11" s="1"/>
  <c r="S40" i="11"/>
  <c r="S39" i="11" s="1"/>
  <c r="R40" i="11"/>
  <c r="R39" i="11" s="1"/>
  <c r="Q40" i="11"/>
  <c r="Q39" i="11" s="1"/>
  <c r="P40" i="11"/>
  <c r="P39" i="11" s="1"/>
  <c r="N40" i="11"/>
  <c r="N39" i="11" s="1"/>
  <c r="M40" i="11"/>
  <c r="M39" i="11" s="1"/>
  <c r="L40" i="11"/>
  <c r="L39" i="11" s="1"/>
  <c r="K40" i="11"/>
  <c r="K39" i="11" s="1"/>
  <c r="J40" i="11"/>
  <c r="J39" i="11" s="1"/>
  <c r="G40" i="11"/>
  <c r="G39" i="11" s="1"/>
  <c r="AI38" i="11"/>
  <c r="AD38" i="11"/>
  <c r="Y38" i="11"/>
  <c r="T38" i="11"/>
  <c r="O38" i="11"/>
  <c r="AI37" i="11"/>
  <c r="AD37" i="11"/>
  <c r="Y37" i="11"/>
  <c r="T37" i="11"/>
  <c r="O37" i="11"/>
  <c r="AI36" i="11"/>
  <c r="AD36" i="11"/>
  <c r="Y36" i="11"/>
  <c r="T36" i="11"/>
  <c r="O36" i="11"/>
  <c r="AI35" i="11"/>
  <c r="AD35" i="11"/>
  <c r="Y35" i="11"/>
  <c r="T35" i="11"/>
  <c r="O35" i="11"/>
  <c r="AH34" i="11"/>
  <c r="AH33" i="11" s="1"/>
  <c r="AG34" i="11"/>
  <c r="AG33" i="11" s="1"/>
  <c r="AF34" i="11"/>
  <c r="AE34" i="11"/>
  <c r="AE33" i="11" s="1"/>
  <c r="AC34" i="11"/>
  <c r="AC33" i="11" s="1"/>
  <c r="AB34" i="11"/>
  <c r="AB33" i="11" s="1"/>
  <c r="AA34" i="11"/>
  <c r="AA33" i="11" s="1"/>
  <c r="Z34" i="11"/>
  <c r="Z33" i="11" s="1"/>
  <c r="X34" i="11"/>
  <c r="X33" i="11" s="1"/>
  <c r="W34" i="11"/>
  <c r="W33" i="11" s="1"/>
  <c r="V34" i="11"/>
  <c r="V33" i="11" s="1"/>
  <c r="U34" i="11"/>
  <c r="U33" i="11" s="1"/>
  <c r="S34" i="11"/>
  <c r="S33" i="11" s="1"/>
  <c r="R34" i="11"/>
  <c r="R33" i="11" s="1"/>
  <c r="Q34" i="11"/>
  <c r="Q33" i="11" s="1"/>
  <c r="P34" i="11"/>
  <c r="P33" i="11" s="1"/>
  <c r="N34" i="11"/>
  <c r="N33" i="11" s="1"/>
  <c r="M34" i="11"/>
  <c r="M33" i="11" s="1"/>
  <c r="L34" i="11"/>
  <c r="L33" i="11" s="1"/>
  <c r="K34" i="11"/>
  <c r="K33" i="11" s="1"/>
  <c r="J34" i="11"/>
  <c r="J33" i="11" s="1"/>
  <c r="G34" i="11"/>
  <c r="G33" i="11" s="1"/>
  <c r="AF33" i="11"/>
  <c r="AI32" i="11"/>
  <c r="AD32" i="11"/>
  <c r="AD31" i="11" s="1"/>
  <c r="Y32" i="11"/>
  <c r="Y31" i="11" s="1"/>
  <c r="T32" i="11"/>
  <c r="T31" i="11" s="1"/>
  <c r="O32" i="11"/>
  <c r="O31" i="11" s="1"/>
  <c r="G32" i="11"/>
  <c r="G31" i="11" s="1"/>
  <c r="AH31" i="11"/>
  <c r="AG31" i="11"/>
  <c r="AF31" i="11"/>
  <c r="AE31" i="11"/>
  <c r="AC31" i="11"/>
  <c r="AB31" i="11"/>
  <c r="AA31" i="11"/>
  <c r="Z31" i="11"/>
  <c r="X31" i="11"/>
  <c r="W31" i="11"/>
  <c r="V31" i="11"/>
  <c r="U31" i="11"/>
  <c r="S31" i="11"/>
  <c r="R31" i="11"/>
  <c r="Q31" i="11"/>
  <c r="P31" i="11"/>
  <c r="N31" i="11"/>
  <c r="M31" i="11"/>
  <c r="L31" i="11"/>
  <c r="K31" i="11"/>
  <c r="J31" i="11"/>
  <c r="F31" i="11"/>
  <c r="E31" i="11"/>
  <c r="D31" i="11"/>
  <c r="AI30" i="11"/>
  <c r="AD30" i="11"/>
  <c r="Y30" i="11"/>
  <c r="T30" i="11"/>
  <c r="O30" i="11"/>
  <c r="G30" i="11"/>
  <c r="AI29" i="11"/>
  <c r="AD29" i="11"/>
  <c r="Y29" i="11"/>
  <c r="T29" i="11"/>
  <c r="O29" i="11"/>
  <c r="G29" i="11"/>
  <c r="AI28" i="11"/>
  <c r="AD28" i="11"/>
  <c r="Y28" i="11"/>
  <c r="T28" i="11"/>
  <c r="O28" i="11"/>
  <c r="G28" i="11"/>
  <c r="AI27" i="11"/>
  <c r="AD27" i="11"/>
  <c r="Y27" i="11"/>
  <c r="T27" i="11"/>
  <c r="O27" i="11"/>
  <c r="G27" i="11"/>
  <c r="AI26" i="11"/>
  <c r="AD26" i="11"/>
  <c r="Y26" i="11"/>
  <c r="T26" i="11"/>
  <c r="O26" i="11"/>
  <c r="G26" i="11"/>
  <c r="AI25" i="11"/>
  <c r="AD25" i="11"/>
  <c r="Y25" i="11"/>
  <c r="T25" i="11"/>
  <c r="O25" i="11"/>
  <c r="G25" i="11"/>
  <c r="AI24" i="11"/>
  <c r="AD24" i="11"/>
  <c r="Y24" i="11"/>
  <c r="T24" i="11"/>
  <c r="O24" i="11"/>
  <c r="G24" i="11"/>
  <c r="AI23" i="11"/>
  <c r="AD23" i="11"/>
  <c r="Y23" i="11"/>
  <c r="T23" i="11"/>
  <c r="O23" i="11"/>
  <c r="G23" i="11"/>
  <c r="AI22" i="11"/>
  <c r="AD22" i="11"/>
  <c r="Y22" i="11"/>
  <c r="T22" i="11"/>
  <c r="O22" i="11"/>
  <c r="G22" i="11"/>
  <c r="AH21" i="11"/>
  <c r="AG21" i="11"/>
  <c r="AF21" i="11"/>
  <c r="AE21" i="11"/>
  <c r="AC21" i="11"/>
  <c r="AB21" i="11"/>
  <c r="AA21" i="11"/>
  <c r="Z21" i="11"/>
  <c r="X21" i="11"/>
  <c r="W21" i="11"/>
  <c r="V21" i="11"/>
  <c r="U21" i="11"/>
  <c r="S21" i="11"/>
  <c r="R21" i="11"/>
  <c r="Q21" i="11"/>
  <c r="P21" i="11"/>
  <c r="N21" i="11"/>
  <c r="M21" i="11"/>
  <c r="L21" i="11"/>
  <c r="K21" i="11"/>
  <c r="J21" i="11"/>
  <c r="AI20" i="11"/>
  <c r="AI19" i="11" s="1"/>
  <c r="AD20" i="11"/>
  <c r="AD19" i="11" s="1"/>
  <c r="Y20" i="11"/>
  <c r="Y19" i="11" s="1"/>
  <c r="T20" i="11"/>
  <c r="T19" i="11" s="1"/>
  <c r="O20" i="11"/>
  <c r="O19" i="11" s="1"/>
  <c r="G20" i="11"/>
  <c r="G19" i="11" s="1"/>
  <c r="AH19" i="11"/>
  <c r="AG19" i="11"/>
  <c r="AF19" i="11"/>
  <c r="AE19" i="11"/>
  <c r="AC19" i="11"/>
  <c r="AB19" i="11"/>
  <c r="AA19" i="11"/>
  <c r="Z19" i="11"/>
  <c r="X19" i="11"/>
  <c r="W19" i="11"/>
  <c r="V19" i="11"/>
  <c r="U19" i="11"/>
  <c r="S19" i="11"/>
  <c r="R19" i="11"/>
  <c r="Q19" i="11"/>
  <c r="P19" i="11"/>
  <c r="N19" i="11"/>
  <c r="M19" i="11"/>
  <c r="L19" i="11"/>
  <c r="K19" i="11"/>
  <c r="J19" i="11"/>
  <c r="AI18" i="11"/>
  <c r="AD18" i="11"/>
  <c r="Y18" i="11"/>
  <c r="T18" i="11"/>
  <c r="O18" i="11"/>
  <c r="G18" i="11"/>
  <c r="AI17" i="11"/>
  <c r="AD17" i="11"/>
  <c r="Y17" i="11"/>
  <c r="T17" i="11"/>
  <c r="O17" i="11"/>
  <c r="G17" i="11"/>
  <c r="AI16" i="11"/>
  <c r="AD16" i="11"/>
  <c r="Y16" i="11"/>
  <c r="T16" i="11"/>
  <c r="O16" i="11"/>
  <c r="G16" i="11"/>
  <c r="AH15" i="11"/>
  <c r="AG15" i="11"/>
  <c r="AF15" i="11"/>
  <c r="AE15" i="11"/>
  <c r="AC15" i="11"/>
  <c r="AB15" i="11"/>
  <c r="AA15" i="11"/>
  <c r="Z15" i="11"/>
  <c r="X15" i="11"/>
  <c r="W15" i="11"/>
  <c r="V15" i="11"/>
  <c r="U15" i="11"/>
  <c r="S15" i="11"/>
  <c r="R15" i="11"/>
  <c r="Q15" i="11"/>
  <c r="P15" i="11"/>
  <c r="N15" i="11"/>
  <c r="M15" i="11"/>
  <c r="L15" i="11"/>
  <c r="K15" i="11"/>
  <c r="J15" i="11"/>
  <c r="AI14" i="11"/>
  <c r="AD14" i="11"/>
  <c r="Y14" i="11"/>
  <c r="T14" i="11"/>
  <c r="M14" i="11"/>
  <c r="O14" i="11" s="1"/>
  <c r="J14" i="11"/>
  <c r="J8" i="11" s="1"/>
  <c r="G14" i="11"/>
  <c r="AI13" i="11"/>
  <c r="AD13" i="11"/>
  <c r="Y13" i="11"/>
  <c r="T13" i="11"/>
  <c r="O13" i="11"/>
  <c r="G13" i="11"/>
  <c r="AI12" i="11"/>
  <c r="AD12" i="11"/>
  <c r="Y12" i="11"/>
  <c r="T12" i="11"/>
  <c r="O12" i="11"/>
  <c r="G12" i="11"/>
  <c r="AI11" i="11"/>
  <c r="AD11" i="11"/>
  <c r="Y11" i="11"/>
  <c r="T11" i="11"/>
  <c r="O11" i="11"/>
  <c r="G11" i="11"/>
  <c r="AI10" i="11"/>
  <c r="AD10" i="11"/>
  <c r="Y10" i="11"/>
  <c r="T10" i="11"/>
  <c r="O10" i="11"/>
  <c r="G10" i="11"/>
  <c r="AI9" i="11"/>
  <c r="AD9" i="11"/>
  <c r="Y9" i="11"/>
  <c r="T9" i="11"/>
  <c r="O9" i="11"/>
  <c r="G9" i="11"/>
  <c r="AH8" i="11"/>
  <c r="AG8" i="11"/>
  <c r="AF8" i="11"/>
  <c r="AE8" i="11"/>
  <c r="AC8" i="11"/>
  <c r="AB8" i="11"/>
  <c r="AA8" i="11"/>
  <c r="Z8" i="11"/>
  <c r="X8" i="11"/>
  <c r="W8" i="11"/>
  <c r="V8" i="11"/>
  <c r="U8" i="11"/>
  <c r="S8" i="11"/>
  <c r="R8" i="11"/>
  <c r="Q8" i="11"/>
  <c r="P8" i="11"/>
  <c r="N8" i="11"/>
  <c r="L8" i="11"/>
  <c r="K8" i="11"/>
  <c r="F8" i="11"/>
  <c r="E8" i="11"/>
  <c r="D8" i="11"/>
  <c r="Y28" i="4"/>
  <c r="E49" i="8"/>
  <c r="E50" i="8" s="1"/>
  <c r="F50" i="8" s="1"/>
  <c r="C87" i="5"/>
  <c r="C88" i="5" s="1"/>
  <c r="E88" i="5" s="1"/>
  <c r="H50" i="6"/>
  <c r="G42" i="6"/>
  <c r="I63" i="5" l="1"/>
  <c r="G77" i="1" s="1"/>
  <c r="AJ77" i="1"/>
  <c r="AS56" i="4"/>
  <c r="AS52" i="4"/>
  <c r="AS51" i="4" s="1"/>
  <c r="AS50" i="4" s="1"/>
  <c r="AR31" i="1"/>
  <c r="AQ29" i="1"/>
  <c r="AS65" i="4"/>
  <c r="AN52" i="4"/>
  <c r="AN51" i="4" s="1"/>
  <c r="AN50" i="4" s="1"/>
  <c r="AQ43" i="1"/>
  <c r="AR49" i="1"/>
  <c r="I62" i="5"/>
  <c r="AS61" i="5"/>
  <c r="AS60" i="5" s="1"/>
  <c r="AP76" i="1"/>
  <c r="AP75" i="1" s="1"/>
  <c r="AP74" i="1" s="1"/>
  <c r="AR73" i="1"/>
  <c r="AR68" i="1"/>
  <c r="AR69" i="1"/>
  <c r="AR77" i="1"/>
  <c r="AR72" i="1"/>
  <c r="AR59" i="1"/>
  <c r="AQ56" i="1"/>
  <c r="AQ55" i="1" s="1"/>
  <c r="AR42" i="1"/>
  <c r="AQ40" i="1"/>
  <c r="AR38" i="1"/>
  <c r="AQ36" i="1"/>
  <c r="AQ28" i="1" s="1"/>
  <c r="AR35" i="1"/>
  <c r="AR76" i="1"/>
  <c r="AR75" i="1" s="1"/>
  <c r="AR74" i="1" s="1"/>
  <c r="AP70" i="1"/>
  <c r="AP66" i="1"/>
  <c r="AR63" i="1"/>
  <c r="AR62" i="1" s="1"/>
  <c r="AR61" i="1" s="1"/>
  <c r="AP62" i="1"/>
  <c r="AP61" i="1" s="1"/>
  <c r="AP56" i="1"/>
  <c r="AP55" i="1" s="1"/>
  <c r="AR57" i="1"/>
  <c r="AR54" i="1"/>
  <c r="AR53" i="1" s="1"/>
  <c r="AP53" i="1"/>
  <c r="AP43" i="1"/>
  <c r="AR44" i="1"/>
  <c r="AP40" i="1"/>
  <c r="AR41" i="1"/>
  <c r="AR37" i="1"/>
  <c r="AP36" i="1"/>
  <c r="AP29" i="1"/>
  <c r="AR30" i="1"/>
  <c r="L60" i="4"/>
  <c r="AL14" i="4"/>
  <c r="AN15" i="4"/>
  <c r="AH61" i="4"/>
  <c r="AI62" i="4"/>
  <c r="AQ21" i="1"/>
  <c r="AQ24" i="1" s="1"/>
  <c r="AN21" i="1"/>
  <c r="AN24" i="1" s="1"/>
  <c r="AN88" i="1" s="1"/>
  <c r="AB21" i="1"/>
  <c r="AB24" i="1" s="1"/>
  <c r="AB88" i="1" s="1"/>
  <c r="R61" i="4"/>
  <c r="S61" i="4"/>
  <c r="U61" i="4"/>
  <c r="V61" i="4"/>
  <c r="W61" i="4"/>
  <c r="X61" i="4"/>
  <c r="Z61" i="4"/>
  <c r="AA61" i="4"/>
  <c r="AB61" i="4"/>
  <c r="AC61" i="4"/>
  <c r="AE61" i="4"/>
  <c r="AF61" i="4"/>
  <c r="AG61" i="4"/>
  <c r="AJ61" i="4"/>
  <c r="AK61" i="4"/>
  <c r="AL61" i="4"/>
  <c r="AM61" i="4"/>
  <c r="K61" i="4"/>
  <c r="K60" i="4" s="1"/>
  <c r="AN61" i="5"/>
  <c r="AN60" i="5" s="1"/>
  <c r="AM76" i="1"/>
  <c r="AD75" i="1"/>
  <c r="I25" i="5"/>
  <c r="AM39" i="1"/>
  <c r="AO39" i="1" s="1"/>
  <c r="I24" i="5"/>
  <c r="AM38" i="1"/>
  <c r="AO38" i="1" s="1"/>
  <c r="AM37" i="1"/>
  <c r="AO37" i="1" s="1"/>
  <c r="I23" i="5"/>
  <c r="AC88" i="1"/>
  <c r="I16" i="12"/>
  <c r="O21" i="12"/>
  <c r="M15" i="12"/>
  <c r="M14" i="12" s="1"/>
  <c r="I27" i="12"/>
  <c r="I26" i="12" s="1"/>
  <c r="O26" i="12"/>
  <c r="O29" i="12"/>
  <c r="I30" i="12"/>
  <c r="I29" i="12" s="1"/>
  <c r="O39" i="12"/>
  <c r="I40" i="12"/>
  <c r="I39" i="12" s="1"/>
  <c r="O42" i="12"/>
  <c r="O41" i="12" s="1"/>
  <c r="I43" i="12"/>
  <c r="I42" i="12" s="1"/>
  <c r="I41" i="12" s="1"/>
  <c r="I49" i="12"/>
  <c r="I48" i="12" s="1"/>
  <c r="I47" i="12" s="1"/>
  <c r="O48" i="12"/>
  <c r="O47" i="12" s="1"/>
  <c r="O52" i="12"/>
  <c r="I53" i="12"/>
  <c r="I52" i="12" s="1"/>
  <c r="I57" i="12"/>
  <c r="I56" i="12" s="1"/>
  <c r="O56" i="12"/>
  <c r="I62" i="12"/>
  <c r="I61" i="12" s="1"/>
  <c r="I60" i="12" s="1"/>
  <c r="D62" i="12"/>
  <c r="O61" i="12"/>
  <c r="O60" i="12" s="1"/>
  <c r="X14" i="12"/>
  <c r="X66" i="12" s="1"/>
  <c r="AC14" i="12"/>
  <c r="AH14" i="12"/>
  <c r="AM14" i="12"/>
  <c r="T14" i="12"/>
  <c r="T66" i="12" s="1"/>
  <c r="Y14" i="12"/>
  <c r="Y66" i="12" s="1"/>
  <c r="AI14" i="12"/>
  <c r="J14" i="12"/>
  <c r="T51" i="12"/>
  <c r="T50" i="12" s="1"/>
  <c r="Y51" i="12"/>
  <c r="Y50" i="12" s="1"/>
  <c r="AI51" i="12"/>
  <c r="AI50" i="12" s="1"/>
  <c r="K66" i="12"/>
  <c r="L66" i="12"/>
  <c r="M66" i="12"/>
  <c r="N66" i="12"/>
  <c r="P66" i="12"/>
  <c r="Q66" i="12"/>
  <c r="R66" i="12"/>
  <c r="S66" i="12"/>
  <c r="U66" i="12"/>
  <c r="V66" i="12"/>
  <c r="G14" i="12"/>
  <c r="G66" i="12" s="1"/>
  <c r="AD14" i="12"/>
  <c r="AN14" i="12"/>
  <c r="I22" i="12"/>
  <c r="J51" i="12"/>
  <c r="J50" i="12" s="1"/>
  <c r="AD51" i="12"/>
  <c r="AD50" i="12" s="1"/>
  <c r="AN51" i="12"/>
  <c r="AN50" i="12" s="1"/>
  <c r="I27" i="5"/>
  <c r="AM41" i="1"/>
  <c r="AO41" i="1" s="1"/>
  <c r="AN57" i="1"/>
  <c r="AO57" i="1" s="1"/>
  <c r="S25" i="8"/>
  <c r="S6" i="8"/>
  <c r="S7" i="8"/>
  <c r="S8" i="8"/>
  <c r="S9" i="8"/>
  <c r="S11" i="8"/>
  <c r="S13" i="8"/>
  <c r="S14" i="8"/>
  <c r="S15" i="8"/>
  <c r="AK21" i="1"/>
  <c r="AK24" i="1" s="1"/>
  <c r="AK88" i="1" s="1"/>
  <c r="I8" i="4"/>
  <c r="AH21" i="1"/>
  <c r="AH24" i="1" s="1"/>
  <c r="AH88" i="1" s="1"/>
  <c r="V88" i="1" s="1"/>
  <c r="AG75" i="1"/>
  <c r="X75" i="1"/>
  <c r="AO46" i="1"/>
  <c r="AO48" i="1"/>
  <c r="AO47" i="1"/>
  <c r="AN75" i="1"/>
  <c r="AO49" i="1"/>
  <c r="AO34" i="1"/>
  <c r="AO33" i="1"/>
  <c r="AO58" i="1"/>
  <c r="AO51" i="1"/>
  <c r="AO50" i="1"/>
  <c r="AO68" i="1"/>
  <c r="AO63" i="1"/>
  <c r="AO59" i="1"/>
  <c r="AO45" i="1"/>
  <c r="AO67" i="1"/>
  <c r="AO60" i="1"/>
  <c r="AO54" i="1"/>
  <c r="AO52" i="1"/>
  <c r="AO35" i="1"/>
  <c r="AO73" i="1"/>
  <c r="AO72" i="1"/>
  <c r="AO69" i="1"/>
  <c r="AO44" i="1"/>
  <c r="AO42" i="1"/>
  <c r="AO32" i="1"/>
  <c r="AO31" i="1"/>
  <c r="AO71" i="1"/>
  <c r="AO77" i="1"/>
  <c r="AI77" i="1"/>
  <c r="AF77" i="1"/>
  <c r="AC77" i="1"/>
  <c r="M60" i="4"/>
  <c r="AN14" i="4"/>
  <c r="AM14" i="4"/>
  <c r="AN42" i="4"/>
  <c r="AN41" i="4" s="1"/>
  <c r="AJ14" i="4"/>
  <c r="AK14" i="4"/>
  <c r="J48" i="11"/>
  <c r="AN52" i="5"/>
  <c r="I8" i="5"/>
  <c r="Q43" i="11"/>
  <c r="Q42" i="11" s="1"/>
  <c r="I23" i="11"/>
  <c r="S43" i="11"/>
  <c r="S42" i="11" s="1"/>
  <c r="AI48" i="11"/>
  <c r="O48" i="11"/>
  <c r="I24" i="11"/>
  <c r="Y34" i="11"/>
  <c r="Y33" i="11" s="1"/>
  <c r="R43" i="11"/>
  <c r="R42" i="11" s="1"/>
  <c r="O15" i="11"/>
  <c r="I45" i="11"/>
  <c r="AD48" i="11"/>
  <c r="Z43" i="11"/>
  <c r="Z42" i="11" s="1"/>
  <c r="U43" i="11"/>
  <c r="U42" i="11" s="1"/>
  <c r="W43" i="11"/>
  <c r="W42" i="11" s="1"/>
  <c r="I46" i="11"/>
  <c r="X43" i="11"/>
  <c r="X42" i="11" s="1"/>
  <c r="AD15" i="11"/>
  <c r="I25" i="11"/>
  <c r="V43" i="11"/>
  <c r="V42" i="11" s="1"/>
  <c r="I49" i="11"/>
  <c r="Z7" i="11"/>
  <c r="N43" i="11"/>
  <c r="N42" i="11" s="1"/>
  <c r="AC7" i="11"/>
  <c r="I29" i="11"/>
  <c r="K43" i="11"/>
  <c r="K42" i="11" s="1"/>
  <c r="L43" i="11"/>
  <c r="L42" i="11" s="1"/>
  <c r="M43" i="11"/>
  <c r="M42" i="11" s="1"/>
  <c r="AA7" i="11"/>
  <c r="P43" i="11"/>
  <c r="P42" i="11" s="1"/>
  <c r="AB7" i="11"/>
  <c r="Y8" i="11"/>
  <c r="Y15" i="11"/>
  <c r="I41" i="11"/>
  <c r="I40" i="11" s="1"/>
  <c r="I39" i="11" s="1"/>
  <c r="AD8" i="11"/>
  <c r="Q7" i="11"/>
  <c r="I13" i="11"/>
  <c r="AA43" i="11"/>
  <c r="AA42" i="11" s="1"/>
  <c r="I51" i="11"/>
  <c r="I10" i="11"/>
  <c r="AC43" i="11"/>
  <c r="AC42" i="11" s="1"/>
  <c r="AE43" i="11"/>
  <c r="AE42" i="11" s="1"/>
  <c r="J7" i="11"/>
  <c r="AG43" i="11"/>
  <c r="AG42" i="11" s="1"/>
  <c r="AD26" i="5"/>
  <c r="J44" i="11"/>
  <c r="O44" i="11"/>
  <c r="I11" i="11"/>
  <c r="T34" i="11"/>
  <c r="T33" i="11" s="1"/>
  <c r="AN15" i="5"/>
  <c r="I22" i="11"/>
  <c r="AG7" i="11"/>
  <c r="AD34" i="11"/>
  <c r="AD33" i="11" s="1"/>
  <c r="T48" i="11"/>
  <c r="AE7" i="11"/>
  <c r="AH7" i="11"/>
  <c r="Y48" i="11"/>
  <c r="AH26" i="5"/>
  <c r="G15" i="11"/>
  <c r="I17" i="11"/>
  <c r="AF43" i="11"/>
  <c r="AF42" i="11" s="1"/>
  <c r="AF7" i="11"/>
  <c r="I37" i="11"/>
  <c r="G8" i="11"/>
  <c r="I16" i="11"/>
  <c r="I9" i="11"/>
  <c r="I30" i="11"/>
  <c r="I50" i="11"/>
  <c r="M8" i="11"/>
  <c r="M7" i="11" s="1"/>
  <c r="T8" i="11"/>
  <c r="T15" i="11"/>
  <c r="I20" i="11"/>
  <c r="I19" i="11" s="1"/>
  <c r="AC26" i="5"/>
  <c r="AH43" i="11"/>
  <c r="AH42" i="11" s="1"/>
  <c r="AI21" i="11"/>
  <c r="O34" i="11"/>
  <c r="O33" i="11" s="1"/>
  <c r="I35" i="11"/>
  <c r="AL51" i="5"/>
  <c r="AL50" i="5" s="1"/>
  <c r="V7" i="11"/>
  <c r="X7" i="11"/>
  <c r="Y61" i="5"/>
  <c r="T21" i="11"/>
  <c r="AD61" i="5"/>
  <c r="AI61" i="5"/>
  <c r="AM51" i="5"/>
  <c r="AM50" i="5" s="1"/>
  <c r="R7" i="11"/>
  <c r="S7" i="11"/>
  <c r="U7" i="11"/>
  <c r="W7" i="11"/>
  <c r="Y21" i="11"/>
  <c r="T61" i="5"/>
  <c r="AI8" i="11"/>
  <c r="K7" i="11"/>
  <c r="I28" i="11"/>
  <c r="L7" i="11"/>
  <c r="G21" i="11"/>
  <c r="I36" i="11"/>
  <c r="Y44" i="11"/>
  <c r="N7" i="11"/>
  <c r="AD44" i="11"/>
  <c r="AN42" i="5"/>
  <c r="AN41" i="5" s="1"/>
  <c r="P7" i="11"/>
  <c r="I12" i="11"/>
  <c r="AI44" i="11"/>
  <c r="AB43" i="11"/>
  <c r="AB42" i="11" s="1"/>
  <c r="O61" i="5"/>
  <c r="G76" i="1"/>
  <c r="D62" i="5"/>
  <c r="E76" i="1" s="1"/>
  <c r="AK51" i="5"/>
  <c r="AK50" i="5" s="1"/>
  <c r="AN22" i="5"/>
  <c r="AJ51" i="5"/>
  <c r="AJ50" i="5" s="1"/>
  <c r="AN28" i="5"/>
  <c r="Y28" i="5"/>
  <c r="AM14" i="5"/>
  <c r="AL14" i="5"/>
  <c r="AK14" i="5"/>
  <c r="AJ14" i="5"/>
  <c r="AN56" i="5"/>
  <c r="AN29" i="5"/>
  <c r="J54" i="11"/>
  <c r="J55" i="11"/>
  <c r="I55" i="11" s="1"/>
  <c r="G70" i="11"/>
  <c r="C74" i="11"/>
  <c r="E74" i="11" s="1"/>
  <c r="T44" i="11"/>
  <c r="I47" i="11"/>
  <c r="AI34" i="11"/>
  <c r="AI33" i="11" s="1"/>
  <c r="I38" i="11"/>
  <c r="I32" i="11"/>
  <c r="I31" i="11" s="1"/>
  <c r="AI31" i="11"/>
  <c r="I27" i="11"/>
  <c r="O21" i="11"/>
  <c r="AD21" i="11"/>
  <c r="I26" i="11"/>
  <c r="I18" i="11"/>
  <c r="AI15" i="11"/>
  <c r="I14" i="11"/>
  <c r="O8" i="11"/>
  <c r="K26" i="4"/>
  <c r="L26" i="4"/>
  <c r="M26" i="4"/>
  <c r="N26" i="4"/>
  <c r="P26" i="4"/>
  <c r="Q26" i="4"/>
  <c r="R26" i="4"/>
  <c r="S26" i="4"/>
  <c r="U26" i="4"/>
  <c r="V26" i="4"/>
  <c r="W26" i="4"/>
  <c r="X26" i="4"/>
  <c r="Z26" i="4"/>
  <c r="AA26" i="4"/>
  <c r="AB26" i="4"/>
  <c r="AC26" i="4"/>
  <c r="AE26" i="4"/>
  <c r="AF26" i="4"/>
  <c r="AG26" i="4"/>
  <c r="AH26" i="4"/>
  <c r="V89" i="1"/>
  <c r="L4" i="8"/>
  <c r="Y62" i="4"/>
  <c r="AJ75" i="1" l="1"/>
  <c r="AL77" i="1"/>
  <c r="AR71" i="1"/>
  <c r="AQ70" i="1"/>
  <c r="AR70" i="1"/>
  <c r="AQ66" i="1"/>
  <c r="AQ65" i="1" s="1"/>
  <c r="AQ64" i="1" s="1"/>
  <c r="AR67" i="1"/>
  <c r="AR66" i="1" s="1"/>
  <c r="AR43" i="1"/>
  <c r="AR56" i="1"/>
  <c r="AR55" i="1" s="1"/>
  <c r="AR40" i="1"/>
  <c r="AR36" i="1"/>
  <c r="AR29" i="1"/>
  <c r="AR28" i="1" s="1"/>
  <c r="AP65" i="1"/>
  <c r="AP64" i="1" s="1"/>
  <c r="AP28" i="1"/>
  <c r="Y61" i="4"/>
  <c r="AE76" i="1"/>
  <c r="AM75" i="1"/>
  <c r="AO76" i="1"/>
  <c r="AO75" i="1" s="1"/>
  <c r="S77" i="1"/>
  <c r="H77" i="1"/>
  <c r="G75" i="1"/>
  <c r="H75" i="1" s="1"/>
  <c r="H76" i="1"/>
  <c r="O51" i="12"/>
  <c r="O50" i="12" s="1"/>
  <c r="I51" i="12"/>
  <c r="I50" i="12" s="1"/>
  <c r="I21" i="12"/>
  <c r="I15" i="12" s="1"/>
  <c r="I14" i="12" s="1"/>
  <c r="O15" i="12"/>
  <c r="O14" i="12" s="1"/>
  <c r="O66" i="12" s="1"/>
  <c r="N60" i="4"/>
  <c r="O43" i="11"/>
  <c r="O42" i="11" s="1"/>
  <c r="O7" i="11"/>
  <c r="Y43" i="11"/>
  <c r="Y42" i="11" s="1"/>
  <c r="I61" i="5"/>
  <c r="AN51" i="5"/>
  <c r="AN50" i="5" s="1"/>
  <c r="J43" i="11"/>
  <c r="J42" i="11" s="1"/>
  <c r="AD43" i="11"/>
  <c r="AD42" i="11" s="1"/>
  <c r="I34" i="11"/>
  <c r="I33" i="11" s="1"/>
  <c r="I48" i="11"/>
  <c r="I44" i="11"/>
  <c r="AI43" i="11"/>
  <c r="AI42" i="11" s="1"/>
  <c r="G7" i="11"/>
  <c r="G59" i="11" s="1"/>
  <c r="T43" i="11"/>
  <c r="T42" i="11" s="1"/>
  <c r="Y7" i="11"/>
  <c r="Y59" i="11" s="1"/>
  <c r="AD7" i="11"/>
  <c r="AD59" i="11" s="1"/>
  <c r="I8" i="11"/>
  <c r="T7" i="11"/>
  <c r="T59" i="11" s="1"/>
  <c r="I15" i="11"/>
  <c r="I21" i="11"/>
  <c r="AI7" i="11"/>
  <c r="AI59" i="11" s="1"/>
  <c r="AN26" i="5"/>
  <c r="AN14" i="5" s="1"/>
  <c r="AH59" i="11"/>
  <c r="K59" i="11"/>
  <c r="Q59" i="11"/>
  <c r="AF59" i="11"/>
  <c r="M59" i="11"/>
  <c r="N59" i="11"/>
  <c r="R59" i="11"/>
  <c r="S59" i="11"/>
  <c r="U59" i="11"/>
  <c r="V59" i="11"/>
  <c r="W59" i="11"/>
  <c r="X59" i="11"/>
  <c r="Z59" i="11"/>
  <c r="AA59" i="11"/>
  <c r="AB59" i="11"/>
  <c r="AC59" i="11"/>
  <c r="AE59" i="11"/>
  <c r="AG59" i="11"/>
  <c r="L54" i="11"/>
  <c r="J99" i="11"/>
  <c r="P99" i="11"/>
  <c r="S99" i="11"/>
  <c r="U99" i="11"/>
  <c r="AB99" i="11"/>
  <c r="L99" i="11"/>
  <c r="W99" i="11"/>
  <c r="Z99" i="11" s="1"/>
  <c r="J53" i="11"/>
  <c r="J52" i="11" s="1"/>
  <c r="Y53" i="4"/>
  <c r="Y55" i="4"/>
  <c r="V4" i="8"/>
  <c r="V5" i="8" s="1"/>
  <c r="E77" i="1"/>
  <c r="Q77" i="1"/>
  <c r="P77" i="1"/>
  <c r="J28" i="4"/>
  <c r="R63" i="1"/>
  <c r="R57" i="1"/>
  <c r="R58" i="1"/>
  <c r="R59" i="1"/>
  <c r="R60" i="1"/>
  <c r="T28" i="4"/>
  <c r="I28" i="4" s="1"/>
  <c r="T27" i="4"/>
  <c r="F28" i="4"/>
  <c r="G28" i="4" s="1"/>
  <c r="AD62" i="4"/>
  <c r="T62" i="4"/>
  <c r="O62" i="4"/>
  <c r="O61" i="4" s="1"/>
  <c r="AI60" i="5"/>
  <c r="AU60" i="5" s="1"/>
  <c r="Q60" i="5"/>
  <c r="R60" i="5"/>
  <c r="S60" i="5"/>
  <c r="U60" i="5"/>
  <c r="V60" i="5"/>
  <c r="W60" i="5"/>
  <c r="X60" i="5"/>
  <c r="Z60" i="5"/>
  <c r="AA60" i="5"/>
  <c r="AB60" i="5"/>
  <c r="AC60" i="5"/>
  <c r="AE60" i="5"/>
  <c r="AF60" i="5"/>
  <c r="AG60" i="5"/>
  <c r="AH60" i="5"/>
  <c r="AH16" i="10"/>
  <c r="AG16" i="10"/>
  <c r="AF16" i="10"/>
  <c r="AE16" i="10"/>
  <c r="AC16" i="10"/>
  <c r="AB16" i="10"/>
  <c r="AA16" i="10"/>
  <c r="Z16" i="10"/>
  <c r="X16" i="10"/>
  <c r="W16" i="10"/>
  <c r="V16" i="10"/>
  <c r="U16" i="10"/>
  <c r="S16" i="10"/>
  <c r="R16" i="10"/>
  <c r="Q16" i="10"/>
  <c r="P16" i="10"/>
  <c r="N16" i="10"/>
  <c r="M16" i="10"/>
  <c r="L16" i="10"/>
  <c r="K16" i="10"/>
  <c r="J16" i="10"/>
  <c r="P42" i="1"/>
  <c r="J76" i="1"/>
  <c r="J75" i="1" s="1"/>
  <c r="J74" i="1" s="1"/>
  <c r="J73" i="1"/>
  <c r="J72" i="1"/>
  <c r="J71" i="1"/>
  <c r="J69" i="1"/>
  <c r="J68" i="1"/>
  <c r="J67" i="1"/>
  <c r="J63" i="1"/>
  <c r="J62" i="1" s="1"/>
  <c r="J61" i="1" s="1"/>
  <c r="J60" i="1"/>
  <c r="J59" i="1"/>
  <c r="J58" i="1"/>
  <c r="J57" i="1"/>
  <c r="J54" i="1"/>
  <c r="J53" i="1" s="1"/>
  <c r="J52" i="1"/>
  <c r="J51" i="1"/>
  <c r="J50" i="1"/>
  <c r="J49" i="1"/>
  <c r="J48" i="1"/>
  <c r="J47" i="1"/>
  <c r="J46" i="1"/>
  <c r="J45" i="1"/>
  <c r="J44" i="1"/>
  <c r="J42" i="1"/>
  <c r="J41" i="1"/>
  <c r="J40" i="1" s="1"/>
  <c r="J39" i="1"/>
  <c r="J38" i="1"/>
  <c r="J37" i="1"/>
  <c r="J35" i="1"/>
  <c r="J34" i="1"/>
  <c r="J33" i="1"/>
  <c r="J32" i="1"/>
  <c r="J31" i="1"/>
  <c r="J30" i="1"/>
  <c r="AI18" i="10"/>
  <c r="AD18" i="10"/>
  <c r="Y18" i="10"/>
  <c r="T18" i="10"/>
  <c r="O18" i="10"/>
  <c r="K42" i="1"/>
  <c r="K76" i="1"/>
  <c r="K75" i="1" s="1"/>
  <c r="K74" i="1" s="1"/>
  <c r="K72" i="1"/>
  <c r="K68" i="1"/>
  <c r="K63" i="1"/>
  <c r="K62" i="1" s="1"/>
  <c r="K61" i="1" s="1"/>
  <c r="K60" i="1"/>
  <c r="K59" i="1"/>
  <c r="K58" i="1"/>
  <c r="K57" i="1"/>
  <c r="K54" i="1"/>
  <c r="K52" i="1"/>
  <c r="K51" i="1"/>
  <c r="K50" i="1"/>
  <c r="K49" i="1"/>
  <c r="K48" i="1"/>
  <c r="K47" i="1"/>
  <c r="K46" i="1"/>
  <c r="K45" i="1"/>
  <c r="K44" i="1"/>
  <c r="K41" i="1"/>
  <c r="K40" i="1" s="1"/>
  <c r="K39" i="1"/>
  <c r="K38" i="1"/>
  <c r="K37" i="1"/>
  <c r="K34" i="1"/>
  <c r="K33" i="1"/>
  <c r="K32" i="1"/>
  <c r="K31" i="1"/>
  <c r="K30" i="1"/>
  <c r="F34" i="6"/>
  <c r="F7" i="6"/>
  <c r="F54" i="10"/>
  <c r="AI52" i="10"/>
  <c r="AI51" i="10" s="1"/>
  <c r="AI50" i="10" s="1"/>
  <c r="AD52" i="10"/>
  <c r="AD51" i="10" s="1"/>
  <c r="AD50" i="10" s="1"/>
  <c r="Y52" i="10"/>
  <c r="Y51" i="10" s="1"/>
  <c r="Y50" i="10" s="1"/>
  <c r="T52" i="10"/>
  <c r="T51" i="10" s="1"/>
  <c r="T50" i="10" s="1"/>
  <c r="O52" i="10"/>
  <c r="O51" i="10" s="1"/>
  <c r="O50" i="10" s="1"/>
  <c r="G52" i="10"/>
  <c r="G51" i="10" s="1"/>
  <c r="G50" i="10" s="1"/>
  <c r="AH51" i="10"/>
  <c r="AH50" i="10" s="1"/>
  <c r="AG51" i="10"/>
  <c r="AG50" i="10" s="1"/>
  <c r="AF51" i="10"/>
  <c r="AF50" i="10" s="1"/>
  <c r="AE51" i="10"/>
  <c r="AE50" i="10" s="1"/>
  <c r="AC51" i="10"/>
  <c r="AC50" i="10" s="1"/>
  <c r="AB51" i="10"/>
  <c r="AB50" i="10" s="1"/>
  <c r="AA51" i="10"/>
  <c r="AA50" i="10" s="1"/>
  <c r="Z51" i="10"/>
  <c r="Z50" i="10" s="1"/>
  <c r="X51" i="10"/>
  <c r="X50" i="10" s="1"/>
  <c r="W51" i="10"/>
  <c r="W50" i="10" s="1"/>
  <c r="V51" i="10"/>
  <c r="V50" i="10" s="1"/>
  <c r="U51" i="10"/>
  <c r="U50" i="10" s="1"/>
  <c r="S51" i="10"/>
  <c r="S50" i="10" s="1"/>
  <c r="R51" i="10"/>
  <c r="R50" i="10" s="1"/>
  <c r="Q51" i="10"/>
  <c r="Q50" i="10" s="1"/>
  <c r="P51" i="10"/>
  <c r="P50" i="10" s="1"/>
  <c r="N51" i="10"/>
  <c r="N50" i="10" s="1"/>
  <c r="M51" i="10"/>
  <c r="M50" i="10" s="1"/>
  <c r="L51" i="10"/>
  <c r="L50" i="10" s="1"/>
  <c r="K51" i="10"/>
  <c r="K50" i="10" s="1"/>
  <c r="J51" i="10"/>
  <c r="J50" i="10" s="1"/>
  <c r="AI49" i="10"/>
  <c r="Y49" i="10"/>
  <c r="T49" i="10"/>
  <c r="O49" i="10"/>
  <c r="J49" i="10"/>
  <c r="K73" i="1" s="1"/>
  <c r="AI48" i="10"/>
  <c r="AD48" i="10"/>
  <c r="AD46" i="10" s="1"/>
  <c r="Y48" i="10"/>
  <c r="T48" i="10"/>
  <c r="O48" i="10"/>
  <c r="AI47" i="10"/>
  <c r="Y47" i="10"/>
  <c r="T47" i="10"/>
  <c r="O47" i="10"/>
  <c r="J47" i="10"/>
  <c r="AH46" i="10"/>
  <c r="AG46" i="10"/>
  <c r="AF46" i="10"/>
  <c r="AE46" i="10"/>
  <c r="AC46" i="10"/>
  <c r="AB46" i="10"/>
  <c r="AA46" i="10"/>
  <c r="Z46" i="10"/>
  <c r="X46" i="10"/>
  <c r="W46" i="10"/>
  <c r="V46" i="10"/>
  <c r="U46" i="10"/>
  <c r="S46" i="10"/>
  <c r="R46" i="10"/>
  <c r="Q46" i="10"/>
  <c r="P46" i="10"/>
  <c r="N46" i="10"/>
  <c r="M46" i="10"/>
  <c r="L46" i="10"/>
  <c r="K46" i="10"/>
  <c r="AI45" i="10"/>
  <c r="AD45" i="10"/>
  <c r="Y45" i="10"/>
  <c r="T45" i="10"/>
  <c r="O45" i="10"/>
  <c r="J45" i="10"/>
  <c r="K69" i="1" s="1"/>
  <c r="AI44" i="10"/>
  <c r="AD44" i="10"/>
  <c r="Y44" i="10"/>
  <c r="T44" i="10"/>
  <c r="O44" i="10"/>
  <c r="AI43" i="10"/>
  <c r="AD43" i="10"/>
  <c r="Y43" i="10"/>
  <c r="T43" i="10"/>
  <c r="O43" i="10"/>
  <c r="J43" i="10"/>
  <c r="K67" i="1" s="1"/>
  <c r="AH42" i="10"/>
  <c r="AG42" i="10"/>
  <c r="AF42" i="10"/>
  <c r="AE42" i="10"/>
  <c r="AC42" i="10"/>
  <c r="AB42" i="10"/>
  <c r="AA42" i="10"/>
  <c r="Z42" i="10"/>
  <c r="X42" i="10"/>
  <c r="W42" i="10"/>
  <c r="V42" i="10"/>
  <c r="U42" i="10"/>
  <c r="S42" i="10"/>
  <c r="R42" i="10"/>
  <c r="Q42" i="10"/>
  <c r="P42" i="10"/>
  <c r="N42" i="10"/>
  <c r="M42" i="10"/>
  <c r="L42" i="10"/>
  <c r="K42" i="10"/>
  <c r="G41" i="10"/>
  <c r="G40" i="10" s="1"/>
  <c r="AI39" i="10"/>
  <c r="AI38" i="10" s="1"/>
  <c r="AI37" i="10" s="1"/>
  <c r="AD39" i="10"/>
  <c r="AD38" i="10" s="1"/>
  <c r="AD37" i="10" s="1"/>
  <c r="Y39" i="10"/>
  <c r="Y38" i="10" s="1"/>
  <c r="Y37" i="10" s="1"/>
  <c r="T39" i="10"/>
  <c r="T38" i="10" s="1"/>
  <c r="T37" i="10" s="1"/>
  <c r="O39" i="10"/>
  <c r="O38" i="10" s="1"/>
  <c r="O37" i="10" s="1"/>
  <c r="AH38" i="10"/>
  <c r="AH37" i="10" s="1"/>
  <c r="AG38" i="10"/>
  <c r="AG37" i="10" s="1"/>
  <c r="AF38" i="10"/>
  <c r="AF37" i="10" s="1"/>
  <c r="AE38" i="10"/>
  <c r="AE37" i="10" s="1"/>
  <c r="AC38" i="10"/>
  <c r="AC37" i="10" s="1"/>
  <c r="AB38" i="10"/>
  <c r="AB37" i="10" s="1"/>
  <c r="AA38" i="10"/>
  <c r="AA37" i="10" s="1"/>
  <c r="Z38" i="10"/>
  <c r="Z37" i="10" s="1"/>
  <c r="X38" i="10"/>
  <c r="X37" i="10" s="1"/>
  <c r="W38" i="10"/>
  <c r="W37" i="10" s="1"/>
  <c r="V38" i="10"/>
  <c r="V37" i="10" s="1"/>
  <c r="U38" i="10"/>
  <c r="U37" i="10" s="1"/>
  <c r="S38" i="10"/>
  <c r="S37" i="10" s="1"/>
  <c r="R38" i="10"/>
  <c r="R37" i="10" s="1"/>
  <c r="Q38" i="10"/>
  <c r="Q37" i="10" s="1"/>
  <c r="P38" i="10"/>
  <c r="P37" i="10" s="1"/>
  <c r="N38" i="10"/>
  <c r="N37" i="10" s="1"/>
  <c r="M38" i="10"/>
  <c r="M37" i="10" s="1"/>
  <c r="L38" i="10"/>
  <c r="L37" i="10" s="1"/>
  <c r="K38" i="10"/>
  <c r="K37" i="10" s="1"/>
  <c r="J38" i="10"/>
  <c r="J37" i="10" s="1"/>
  <c r="G38" i="10"/>
  <c r="G37" i="10" s="1"/>
  <c r="AI36" i="10"/>
  <c r="AD36" i="10"/>
  <c r="Y36" i="10"/>
  <c r="T36" i="10"/>
  <c r="O36" i="10"/>
  <c r="AI35" i="10"/>
  <c r="AD35" i="10"/>
  <c r="Y35" i="10"/>
  <c r="T35" i="10"/>
  <c r="O35" i="10"/>
  <c r="AI34" i="10"/>
  <c r="AD34" i="10"/>
  <c r="Y34" i="10"/>
  <c r="T34" i="10"/>
  <c r="O34" i="10"/>
  <c r="AI33" i="10"/>
  <c r="AD33" i="10"/>
  <c r="Y33" i="10"/>
  <c r="T33" i="10"/>
  <c r="O33" i="10"/>
  <c r="AH32" i="10"/>
  <c r="AH31" i="10" s="1"/>
  <c r="AG32" i="10"/>
  <c r="AG31" i="10" s="1"/>
  <c r="AF32" i="10"/>
  <c r="AF31" i="10" s="1"/>
  <c r="AE32" i="10"/>
  <c r="AE31" i="10" s="1"/>
  <c r="AC32" i="10"/>
  <c r="AC31" i="10" s="1"/>
  <c r="AB32" i="10"/>
  <c r="AB31" i="10" s="1"/>
  <c r="AA32" i="10"/>
  <c r="AA31" i="10" s="1"/>
  <c r="Z32" i="10"/>
  <c r="Z31" i="10" s="1"/>
  <c r="X32" i="10"/>
  <c r="X31" i="10" s="1"/>
  <c r="W32" i="10"/>
  <c r="W31" i="10" s="1"/>
  <c r="V32" i="10"/>
  <c r="V31" i="10" s="1"/>
  <c r="U32" i="10"/>
  <c r="U31" i="10" s="1"/>
  <c r="S32" i="10"/>
  <c r="S31" i="10" s="1"/>
  <c r="R32" i="10"/>
  <c r="R31" i="10" s="1"/>
  <c r="Q32" i="10"/>
  <c r="Q31" i="10" s="1"/>
  <c r="P32" i="10"/>
  <c r="P31" i="10" s="1"/>
  <c r="N32" i="10"/>
  <c r="N31" i="10" s="1"/>
  <c r="M32" i="10"/>
  <c r="M31" i="10" s="1"/>
  <c r="L32" i="10"/>
  <c r="L31" i="10" s="1"/>
  <c r="K32" i="10"/>
  <c r="K31" i="10" s="1"/>
  <c r="J32" i="10"/>
  <c r="J31" i="10" s="1"/>
  <c r="G32" i="10"/>
  <c r="G31" i="10" s="1"/>
  <c r="AI30" i="10"/>
  <c r="AI29" i="10" s="1"/>
  <c r="AD30" i="10"/>
  <c r="AD29" i="10" s="1"/>
  <c r="Y30" i="10"/>
  <c r="Y29" i="10" s="1"/>
  <c r="T30" i="10"/>
  <c r="T29" i="10" s="1"/>
  <c r="O30" i="10"/>
  <c r="O29" i="10" s="1"/>
  <c r="G30" i="10"/>
  <c r="G29" i="10" s="1"/>
  <c r="AH29" i="10"/>
  <c r="AG29" i="10"/>
  <c r="AF29" i="10"/>
  <c r="AE29" i="10"/>
  <c r="AC29" i="10"/>
  <c r="AB29" i="10"/>
  <c r="AA29" i="10"/>
  <c r="Z29" i="10"/>
  <c r="X29" i="10"/>
  <c r="W29" i="10"/>
  <c r="V29" i="10"/>
  <c r="U29" i="10"/>
  <c r="S29" i="10"/>
  <c r="R29" i="10"/>
  <c r="Q29" i="10"/>
  <c r="P29" i="10"/>
  <c r="N29" i="10"/>
  <c r="M29" i="10"/>
  <c r="L29" i="10"/>
  <c r="K29" i="10"/>
  <c r="J29" i="10"/>
  <c r="K53" i="1" s="1"/>
  <c r="F29" i="10"/>
  <c r="E29" i="10"/>
  <c r="D29" i="10"/>
  <c r="AI28" i="10"/>
  <c r="AD28" i="10"/>
  <c r="Y28" i="10"/>
  <c r="T28" i="10"/>
  <c r="O28" i="10"/>
  <c r="G28" i="10"/>
  <c r="AI27" i="10"/>
  <c r="AD27" i="10"/>
  <c r="Y27" i="10"/>
  <c r="T27" i="10"/>
  <c r="O27" i="10"/>
  <c r="G27" i="10"/>
  <c r="AI26" i="10"/>
  <c r="AD26" i="10"/>
  <c r="Y26" i="10"/>
  <c r="T26" i="10"/>
  <c r="O26" i="10"/>
  <c r="G26" i="10"/>
  <c r="AI25" i="10"/>
  <c r="AD25" i="10"/>
  <c r="Y25" i="10"/>
  <c r="T25" i="10"/>
  <c r="O25" i="10"/>
  <c r="G25" i="10"/>
  <c r="AI24" i="10"/>
  <c r="AD24" i="10"/>
  <c r="Y24" i="10"/>
  <c r="T24" i="10"/>
  <c r="O24" i="10"/>
  <c r="G24" i="10"/>
  <c r="AI23" i="10"/>
  <c r="AD23" i="10"/>
  <c r="Y23" i="10"/>
  <c r="T23" i="10"/>
  <c r="O23" i="10"/>
  <c r="G23" i="10"/>
  <c r="AI22" i="10"/>
  <c r="AD22" i="10"/>
  <c r="Y22" i="10"/>
  <c r="T22" i="10"/>
  <c r="O22" i="10"/>
  <c r="G22" i="10"/>
  <c r="AI21" i="10"/>
  <c r="AD21" i="10"/>
  <c r="Y21" i="10"/>
  <c r="T21" i="10"/>
  <c r="O21" i="10"/>
  <c r="G21" i="10"/>
  <c r="AI20" i="10"/>
  <c r="AD20" i="10"/>
  <c r="Y20" i="10"/>
  <c r="T20" i="10"/>
  <c r="O20" i="10"/>
  <c r="G20" i="10"/>
  <c r="AH19" i="10"/>
  <c r="AG19" i="10"/>
  <c r="AF19" i="10"/>
  <c r="AE19" i="10"/>
  <c r="AC19" i="10"/>
  <c r="AB19" i="10"/>
  <c r="AA19" i="10"/>
  <c r="Z19" i="10"/>
  <c r="X19" i="10"/>
  <c r="W19" i="10"/>
  <c r="V19" i="10"/>
  <c r="U19" i="10"/>
  <c r="S19" i="10"/>
  <c r="R19" i="10"/>
  <c r="Q19" i="10"/>
  <c r="P19" i="10"/>
  <c r="N19" i="10"/>
  <c r="M19" i="10"/>
  <c r="L19" i="10"/>
  <c r="K19" i="10"/>
  <c r="J19" i="10"/>
  <c r="AI17" i="10"/>
  <c r="AD17" i="10"/>
  <c r="Y17" i="10"/>
  <c r="T17" i="10"/>
  <c r="O17" i="10"/>
  <c r="G17" i="10"/>
  <c r="G16" i="10" s="1"/>
  <c r="AI15" i="10"/>
  <c r="AD15" i="10"/>
  <c r="Y15" i="10"/>
  <c r="T15" i="10"/>
  <c r="O15" i="10"/>
  <c r="G15" i="10"/>
  <c r="AI14" i="10"/>
  <c r="AD14" i="10"/>
  <c r="Y14" i="10"/>
  <c r="T14" i="10"/>
  <c r="O14" i="10"/>
  <c r="G14" i="10"/>
  <c r="AI13" i="10"/>
  <c r="AD13" i="10"/>
  <c r="Y13" i="10"/>
  <c r="T13" i="10"/>
  <c r="O13" i="10"/>
  <c r="G13" i="10"/>
  <c r="AH12" i="10"/>
  <c r="AG12" i="10"/>
  <c r="AF12" i="10"/>
  <c r="AE12" i="10"/>
  <c r="AC12" i="10"/>
  <c r="AB12" i="10"/>
  <c r="AA12" i="10"/>
  <c r="Z12" i="10"/>
  <c r="X12" i="10"/>
  <c r="W12" i="10"/>
  <c r="V12" i="10"/>
  <c r="U12" i="10"/>
  <c r="S12" i="10"/>
  <c r="R12" i="10"/>
  <c r="Q12" i="10"/>
  <c r="P12" i="10"/>
  <c r="N12" i="10"/>
  <c r="M12" i="10"/>
  <c r="L12" i="10"/>
  <c r="K12" i="10"/>
  <c r="J12" i="10"/>
  <c r="AI11" i="10"/>
  <c r="AD11" i="10"/>
  <c r="Y11" i="10"/>
  <c r="T11" i="10"/>
  <c r="M11" i="10"/>
  <c r="O11" i="10" s="1"/>
  <c r="J11" i="10"/>
  <c r="K35" i="1" s="1"/>
  <c r="G11" i="10"/>
  <c r="AI10" i="10"/>
  <c r="AD10" i="10"/>
  <c r="Y10" i="10"/>
  <c r="T10" i="10"/>
  <c r="O10" i="10"/>
  <c r="G10" i="10"/>
  <c r="AI9" i="10"/>
  <c r="AD9" i="10"/>
  <c r="Y9" i="10"/>
  <c r="T9" i="10"/>
  <c r="O9" i="10"/>
  <c r="G9" i="10"/>
  <c r="AI8" i="10"/>
  <c r="AD8" i="10"/>
  <c r="Y8" i="10"/>
  <c r="T8" i="10"/>
  <c r="O8" i="10"/>
  <c r="G8" i="10"/>
  <c r="AI7" i="10"/>
  <c r="AD7" i="10"/>
  <c r="Y7" i="10"/>
  <c r="T7" i="10"/>
  <c r="O7" i="10"/>
  <c r="G7" i="10"/>
  <c r="AI6" i="10"/>
  <c r="AD6" i="10"/>
  <c r="Y6" i="10"/>
  <c r="T6" i="10"/>
  <c r="O6" i="10"/>
  <c r="G6" i="10"/>
  <c r="AH5" i="10"/>
  <c r="AG5" i="10"/>
  <c r="AF5" i="10"/>
  <c r="AE5" i="10"/>
  <c r="AC5" i="10"/>
  <c r="AB5" i="10"/>
  <c r="AA5" i="10"/>
  <c r="Z5" i="10"/>
  <c r="X5" i="10"/>
  <c r="W5" i="10"/>
  <c r="V5" i="10"/>
  <c r="U5" i="10"/>
  <c r="S5" i="10"/>
  <c r="R5" i="10"/>
  <c r="Q5" i="10"/>
  <c r="P5" i="10"/>
  <c r="N5" i="10"/>
  <c r="L5" i="10"/>
  <c r="K5" i="10"/>
  <c r="F5" i="10"/>
  <c r="E5" i="10"/>
  <c r="D5" i="10"/>
  <c r="AB87" i="1"/>
  <c r="AE87" i="1"/>
  <c r="AN87" i="1"/>
  <c r="AK87" i="1"/>
  <c r="AH87" i="1"/>
  <c r="Y87" i="1"/>
  <c r="AI59" i="4"/>
  <c r="AI58" i="4"/>
  <c r="AI57" i="4"/>
  <c r="AI55" i="4"/>
  <c r="AI54" i="4"/>
  <c r="AI53" i="4"/>
  <c r="AI49" i="4"/>
  <c r="AI48" i="4" s="1"/>
  <c r="AI47" i="4" s="1"/>
  <c r="AI46" i="4"/>
  <c r="AI45" i="4"/>
  <c r="AI44" i="4"/>
  <c r="AI43" i="4"/>
  <c r="AI40" i="4"/>
  <c r="AI39" i="4" s="1"/>
  <c r="AI38" i="4"/>
  <c r="AI37" i="4"/>
  <c r="AI36" i="4"/>
  <c r="AI35" i="4"/>
  <c r="AI34" i="4"/>
  <c r="AI33" i="4"/>
  <c r="AI32" i="4"/>
  <c r="AI31" i="4"/>
  <c r="AI30" i="4"/>
  <c r="AI27" i="4"/>
  <c r="AI26" i="4" s="1"/>
  <c r="AI25" i="4"/>
  <c r="AI24" i="4"/>
  <c r="AI23" i="4"/>
  <c r="AI21" i="4"/>
  <c r="AI20" i="4"/>
  <c r="AI19" i="4"/>
  <c r="AI18" i="4"/>
  <c r="AI17" i="4"/>
  <c r="AI16" i="4"/>
  <c r="AD59" i="4"/>
  <c r="AD58" i="4"/>
  <c r="AD57" i="4"/>
  <c r="AD55" i="4"/>
  <c r="AD54" i="4"/>
  <c r="AD53" i="4"/>
  <c r="AD49" i="4"/>
  <c r="AD48" i="4" s="1"/>
  <c r="AD47" i="4" s="1"/>
  <c r="AD46" i="4"/>
  <c r="AD45" i="4"/>
  <c r="AD44" i="4"/>
  <c r="AD43" i="4"/>
  <c r="AD40" i="4"/>
  <c r="AD39" i="4" s="1"/>
  <c r="AD38" i="4"/>
  <c r="AD37" i="4"/>
  <c r="AD36" i="4"/>
  <c r="AD35" i="4"/>
  <c r="AD34" i="4"/>
  <c r="AD33" i="4"/>
  <c r="AD32" i="4"/>
  <c r="AD31" i="4"/>
  <c r="AD30" i="4"/>
  <c r="AD27" i="4"/>
  <c r="AD26" i="4" s="1"/>
  <c r="AD25" i="4"/>
  <c r="AD24" i="4"/>
  <c r="AD23" i="4"/>
  <c r="AD21" i="4"/>
  <c r="AD20" i="4"/>
  <c r="AD19" i="4"/>
  <c r="AD18" i="4"/>
  <c r="AD17" i="4"/>
  <c r="AD16" i="4"/>
  <c r="Y59" i="4"/>
  <c r="Y58" i="4"/>
  <c r="Y57" i="4"/>
  <c r="Y54" i="4"/>
  <c r="Y49" i="4"/>
  <c r="Y48" i="4" s="1"/>
  <c r="Y47" i="4" s="1"/>
  <c r="Y46" i="4"/>
  <c r="Y45" i="4"/>
  <c r="Y44" i="4"/>
  <c r="Y43" i="4"/>
  <c r="Y40" i="4"/>
  <c r="Y39" i="4" s="1"/>
  <c r="Y38" i="4"/>
  <c r="Y37" i="4"/>
  <c r="Y36" i="4"/>
  <c r="Y35" i="4"/>
  <c r="Y34" i="4"/>
  <c r="Y33" i="4"/>
  <c r="Y32" i="4"/>
  <c r="Y31" i="4"/>
  <c r="Y30" i="4"/>
  <c r="Y27" i="4"/>
  <c r="Y25" i="4"/>
  <c r="Y24" i="4"/>
  <c r="Y23" i="4"/>
  <c r="Y21" i="4"/>
  <c r="Y20" i="4"/>
  <c r="Y19" i="4"/>
  <c r="Y18" i="4"/>
  <c r="Y17" i="4"/>
  <c r="Y16" i="4"/>
  <c r="T59" i="4"/>
  <c r="T58" i="4"/>
  <c r="T57" i="4"/>
  <c r="T55" i="4"/>
  <c r="T54" i="4"/>
  <c r="T53" i="4"/>
  <c r="T49" i="4"/>
  <c r="T48" i="4" s="1"/>
  <c r="T47" i="4" s="1"/>
  <c r="T46" i="4"/>
  <c r="T45" i="4"/>
  <c r="T44" i="4"/>
  <c r="T43" i="4"/>
  <c r="T40" i="4"/>
  <c r="T39" i="4" s="1"/>
  <c r="T38" i="4"/>
  <c r="T37" i="4"/>
  <c r="T36" i="4"/>
  <c r="T35" i="4"/>
  <c r="T34" i="4"/>
  <c r="T33" i="4"/>
  <c r="T32" i="4"/>
  <c r="T31" i="4"/>
  <c r="T30" i="4"/>
  <c r="T25" i="4"/>
  <c r="T24" i="4"/>
  <c r="T23" i="4"/>
  <c r="T21" i="4"/>
  <c r="T20" i="4"/>
  <c r="T19" i="4"/>
  <c r="T18" i="4"/>
  <c r="T17" i="4"/>
  <c r="T16" i="4"/>
  <c r="O59" i="4"/>
  <c r="O58" i="4"/>
  <c r="O57" i="4"/>
  <c r="O55" i="4"/>
  <c r="O54" i="4"/>
  <c r="I54" i="4" s="1"/>
  <c r="O53" i="4"/>
  <c r="O49" i="4"/>
  <c r="O46" i="4"/>
  <c r="O45" i="4"/>
  <c r="I45" i="4" s="1"/>
  <c r="O44" i="4"/>
  <c r="O43" i="4"/>
  <c r="I43" i="4" s="1"/>
  <c r="O40" i="4"/>
  <c r="O38" i="4"/>
  <c r="I38" i="4" s="1"/>
  <c r="O37" i="4"/>
  <c r="I37" i="4" s="1"/>
  <c r="O36" i="4"/>
  <c r="I36" i="4" s="1"/>
  <c r="O35" i="4"/>
  <c r="I35" i="4" s="1"/>
  <c r="O34" i="4"/>
  <c r="I34" i="4" s="1"/>
  <c r="O33" i="4"/>
  <c r="I33" i="4" s="1"/>
  <c r="O32" i="4"/>
  <c r="I32" i="4" s="1"/>
  <c r="O31" i="4"/>
  <c r="I31" i="4" s="1"/>
  <c r="O30" i="4"/>
  <c r="I30" i="4" s="1"/>
  <c r="O27" i="4"/>
  <c r="O26" i="4" s="1"/>
  <c r="O25" i="4"/>
  <c r="I25" i="4" s="1"/>
  <c r="O24" i="4"/>
  <c r="I24" i="4" s="1"/>
  <c r="O23" i="4"/>
  <c r="I23" i="4" s="1"/>
  <c r="O20" i="4"/>
  <c r="I20" i="4" s="1"/>
  <c r="O19" i="4"/>
  <c r="I19" i="4" s="1"/>
  <c r="O18" i="4"/>
  <c r="I18" i="4" s="1"/>
  <c r="O17" i="4"/>
  <c r="I17" i="4" s="1"/>
  <c r="O16" i="4"/>
  <c r="I16" i="4" s="1"/>
  <c r="AI59" i="5"/>
  <c r="AI58" i="5"/>
  <c r="AI57" i="5"/>
  <c r="AI55" i="5"/>
  <c r="AI54" i="5"/>
  <c r="AI53" i="5"/>
  <c r="AI49" i="5"/>
  <c r="AI48" i="5" s="1"/>
  <c r="AI47" i="5" s="1"/>
  <c r="AI46" i="5"/>
  <c r="AI45" i="5"/>
  <c r="AI44" i="5"/>
  <c r="AI43" i="5"/>
  <c r="AI40" i="5"/>
  <c r="AI39" i="5" s="1"/>
  <c r="AI38" i="5"/>
  <c r="AI37" i="5"/>
  <c r="AI36" i="5"/>
  <c r="AI35" i="5"/>
  <c r="AI34" i="5"/>
  <c r="AI33" i="5"/>
  <c r="AI32" i="5"/>
  <c r="AI31" i="5"/>
  <c r="AI30" i="5"/>
  <c r="AI27" i="5"/>
  <c r="AI26" i="5" s="1"/>
  <c r="AI25" i="5"/>
  <c r="AI24" i="5"/>
  <c r="AI23" i="5"/>
  <c r="AI21" i="5"/>
  <c r="AI20" i="5"/>
  <c r="AI19" i="5"/>
  <c r="AI18" i="5"/>
  <c r="AI17" i="5"/>
  <c r="AI16" i="5"/>
  <c r="AD59" i="5"/>
  <c r="AD58" i="5"/>
  <c r="AD57" i="5"/>
  <c r="AD55" i="5"/>
  <c r="AD54" i="5"/>
  <c r="AD53" i="5"/>
  <c r="AD49" i="5"/>
  <c r="AD48" i="5" s="1"/>
  <c r="AD47" i="5" s="1"/>
  <c r="AD46" i="5"/>
  <c r="AD45" i="5"/>
  <c r="AD44" i="5"/>
  <c r="AD43" i="5"/>
  <c r="AD40" i="5"/>
  <c r="AD39" i="5" s="1"/>
  <c r="AD38" i="5"/>
  <c r="AD37" i="5"/>
  <c r="AD36" i="5"/>
  <c r="AD35" i="5"/>
  <c r="AD34" i="5"/>
  <c r="AD33" i="5"/>
  <c r="AD32" i="5"/>
  <c r="AD31" i="5"/>
  <c r="AD30" i="5"/>
  <c r="AD25" i="5"/>
  <c r="AD24" i="5"/>
  <c r="AD23" i="5"/>
  <c r="AD21" i="5"/>
  <c r="AD20" i="5"/>
  <c r="AD19" i="5"/>
  <c r="AD18" i="5"/>
  <c r="AD17" i="5"/>
  <c r="AD16" i="5"/>
  <c r="Y59" i="5"/>
  <c r="Y58" i="5"/>
  <c r="Y57" i="5"/>
  <c r="Y55" i="5"/>
  <c r="Y54" i="5"/>
  <c r="Y53" i="5"/>
  <c r="Y49" i="5"/>
  <c r="Y48" i="5" s="1"/>
  <c r="Y47" i="5" s="1"/>
  <c r="Y46" i="5"/>
  <c r="Y45" i="5"/>
  <c r="Y44" i="5"/>
  <c r="Y43" i="5"/>
  <c r="Y40" i="5"/>
  <c r="Y39" i="5" s="1"/>
  <c r="Y38" i="5"/>
  <c r="Y37" i="5"/>
  <c r="Y36" i="5"/>
  <c r="Y35" i="5"/>
  <c r="Y34" i="5"/>
  <c r="Y33" i="5"/>
  <c r="Y32" i="5"/>
  <c r="Y31" i="5"/>
  <c r="Y30" i="5"/>
  <c r="Y27" i="5"/>
  <c r="Y26" i="5" s="1"/>
  <c r="Y25" i="5"/>
  <c r="Y24" i="5"/>
  <c r="Y23" i="5"/>
  <c r="Y21" i="5"/>
  <c r="Y20" i="5"/>
  <c r="Y19" i="5"/>
  <c r="Y18" i="5"/>
  <c r="Y17" i="5"/>
  <c r="Y16" i="5"/>
  <c r="T59" i="5"/>
  <c r="T58" i="5"/>
  <c r="T57" i="5"/>
  <c r="T55" i="5"/>
  <c r="T54" i="5"/>
  <c r="T53" i="5"/>
  <c r="T49" i="5"/>
  <c r="T48" i="5" s="1"/>
  <c r="T47" i="5" s="1"/>
  <c r="T46" i="5"/>
  <c r="T45" i="5"/>
  <c r="T44" i="5"/>
  <c r="T43" i="5"/>
  <c r="T40" i="5"/>
  <c r="T39" i="5" s="1"/>
  <c r="T38" i="5"/>
  <c r="T37" i="5"/>
  <c r="T36" i="5"/>
  <c r="T35" i="5"/>
  <c r="T34" i="5"/>
  <c r="T33" i="5"/>
  <c r="T32" i="5"/>
  <c r="T31" i="5"/>
  <c r="T30" i="5"/>
  <c r="T27" i="5"/>
  <c r="T26" i="5" s="1"/>
  <c r="T25" i="5"/>
  <c r="T24" i="5"/>
  <c r="T23" i="5"/>
  <c r="T21" i="5"/>
  <c r="T20" i="5"/>
  <c r="T19" i="5"/>
  <c r="T18" i="5"/>
  <c r="T17" i="5"/>
  <c r="T16" i="5"/>
  <c r="O59" i="5"/>
  <c r="O58" i="5"/>
  <c r="O57" i="5"/>
  <c r="O55" i="5"/>
  <c r="O54" i="5"/>
  <c r="O53" i="5"/>
  <c r="O49" i="5"/>
  <c r="O46" i="5"/>
  <c r="O45" i="5"/>
  <c r="O44" i="5"/>
  <c r="O43" i="5"/>
  <c r="O40" i="5"/>
  <c r="O38" i="5"/>
  <c r="O37" i="5"/>
  <c r="O36" i="5"/>
  <c r="O35" i="5"/>
  <c r="O34" i="5"/>
  <c r="O33" i="5"/>
  <c r="O32" i="5"/>
  <c r="O31" i="5"/>
  <c r="O30" i="5"/>
  <c r="O25" i="5"/>
  <c r="O24" i="5"/>
  <c r="O23" i="5"/>
  <c r="O17" i="5"/>
  <c r="O18" i="5"/>
  <c r="O19" i="5"/>
  <c r="O20" i="5"/>
  <c r="O16" i="5"/>
  <c r="C16" i="9"/>
  <c r="F16" i="9" s="1"/>
  <c r="G16" i="9" s="1"/>
  <c r="S22" i="4"/>
  <c r="U22" i="4"/>
  <c r="V22" i="4"/>
  <c r="W22" i="4"/>
  <c r="X22" i="4"/>
  <c r="Z22" i="4"/>
  <c r="AA22" i="4"/>
  <c r="AB22" i="4"/>
  <c r="AC22" i="4"/>
  <c r="AE22" i="4"/>
  <c r="AF22" i="4"/>
  <c r="AG22" i="4"/>
  <c r="AH22" i="4"/>
  <c r="G10" i="9"/>
  <c r="B4" i="9"/>
  <c r="AR65" i="1" l="1"/>
  <c r="AR64" i="1" s="1"/>
  <c r="AF76" i="1"/>
  <c r="AF75" i="1" s="1"/>
  <c r="AE75" i="1"/>
  <c r="I58" i="4"/>
  <c r="R72" i="1" s="1"/>
  <c r="I46" i="4"/>
  <c r="I44" i="4"/>
  <c r="AB76" i="1"/>
  <c r="T61" i="4"/>
  <c r="O48" i="4"/>
  <c r="O47" i="4" s="1"/>
  <c r="I49" i="4"/>
  <c r="I48" i="4" s="1"/>
  <c r="I47" i="4" s="1"/>
  <c r="O39" i="4"/>
  <c r="I40" i="4"/>
  <c r="I66" i="12"/>
  <c r="Y26" i="4"/>
  <c r="I27" i="4"/>
  <c r="I26" i="4" s="1"/>
  <c r="AK76" i="1"/>
  <c r="AI61" i="4"/>
  <c r="AH76" i="1"/>
  <c r="AD61" i="4"/>
  <c r="I62" i="4"/>
  <c r="R76" i="1" s="1"/>
  <c r="O60" i="4"/>
  <c r="P60" i="4"/>
  <c r="R41" i="10"/>
  <c r="R40" i="10" s="1"/>
  <c r="AD22" i="4"/>
  <c r="T52" i="4"/>
  <c r="I8" i="10"/>
  <c r="L32" i="1" s="1"/>
  <c r="AI22" i="4"/>
  <c r="T15" i="5"/>
  <c r="T42" i="5"/>
  <c r="T41" i="5" s="1"/>
  <c r="T22" i="4"/>
  <c r="I58" i="5"/>
  <c r="I18" i="10"/>
  <c r="L42" i="1" s="1"/>
  <c r="M42" i="1" s="1"/>
  <c r="AD56" i="5"/>
  <c r="I43" i="11"/>
  <c r="I42" i="11" s="1"/>
  <c r="AD16" i="10"/>
  <c r="AC41" i="10"/>
  <c r="AC40" i="10" s="1"/>
  <c r="O16" i="10"/>
  <c r="T52" i="5"/>
  <c r="J46" i="10"/>
  <c r="Y16" i="10"/>
  <c r="I10" i="10"/>
  <c r="L34" i="1" s="1"/>
  <c r="I48" i="10"/>
  <c r="L72" i="1" s="1"/>
  <c r="O46" i="10"/>
  <c r="I23" i="10"/>
  <c r="L47" i="1" s="1"/>
  <c r="U41" i="10"/>
  <c r="U40" i="10" s="1"/>
  <c r="X41" i="10"/>
  <c r="X40" i="10" s="1"/>
  <c r="AD42" i="4"/>
  <c r="AD41" i="4" s="1"/>
  <c r="AI16" i="10"/>
  <c r="Z4" i="10"/>
  <c r="Z54" i="10" s="1"/>
  <c r="R46" i="1"/>
  <c r="Y42" i="5"/>
  <c r="Y41" i="5" s="1"/>
  <c r="Y56" i="5"/>
  <c r="I15" i="10"/>
  <c r="L39" i="1" s="1"/>
  <c r="Y46" i="10"/>
  <c r="I28" i="10"/>
  <c r="L52" i="1" s="1"/>
  <c r="AG41" i="10"/>
  <c r="AG40" i="10" s="1"/>
  <c r="O32" i="10"/>
  <c r="O31" i="10" s="1"/>
  <c r="AG4" i="10"/>
  <c r="AG54" i="10" s="1"/>
  <c r="AF41" i="10"/>
  <c r="AF40" i="10" s="1"/>
  <c r="T16" i="10"/>
  <c r="R45" i="1"/>
  <c r="O52" i="4"/>
  <c r="I7" i="11"/>
  <c r="K41" i="10"/>
  <c r="K40" i="10" s="1"/>
  <c r="W4" i="10"/>
  <c r="W54" i="10" s="1"/>
  <c r="Q41" i="10"/>
  <c r="Q40" i="10" s="1"/>
  <c r="C20" i="9"/>
  <c r="I16" i="5"/>
  <c r="V41" i="10"/>
  <c r="V40" i="10" s="1"/>
  <c r="AD52" i="5"/>
  <c r="O22" i="4"/>
  <c r="W41" i="10"/>
  <c r="W40" i="10" s="1"/>
  <c r="T26" i="4"/>
  <c r="M41" i="10"/>
  <c r="M40" i="10" s="1"/>
  <c r="J5" i="10"/>
  <c r="J4" i="10" s="1"/>
  <c r="AH4" i="10"/>
  <c r="AH54" i="10" s="1"/>
  <c r="T32" i="10"/>
  <c r="T31" i="10" s="1"/>
  <c r="P41" i="10"/>
  <c r="P40" i="10" s="1"/>
  <c r="R39" i="1"/>
  <c r="K4" i="10"/>
  <c r="K54" i="10" s="1"/>
  <c r="O12" i="10"/>
  <c r="I54" i="5"/>
  <c r="I36" i="10"/>
  <c r="L60" i="1" s="1"/>
  <c r="AA41" i="10"/>
  <c r="AA40" i="10" s="1"/>
  <c r="Q42" i="1"/>
  <c r="J26" i="4"/>
  <c r="G19" i="10"/>
  <c r="N41" i="10"/>
  <c r="N40" i="10" s="1"/>
  <c r="I24" i="10"/>
  <c r="L48" i="1" s="1"/>
  <c r="S41" i="10"/>
  <c r="S40" i="10" s="1"/>
  <c r="M5" i="10"/>
  <c r="M4" i="10" s="1"/>
  <c r="M54" i="10" s="1"/>
  <c r="I9" i="10"/>
  <c r="L33" i="1" s="1"/>
  <c r="Y12" i="10"/>
  <c r="AB41" i="10"/>
  <c r="AB40" i="10" s="1"/>
  <c r="AD19" i="10"/>
  <c r="L41" i="10"/>
  <c r="L40" i="10" s="1"/>
  <c r="Y52" i="5"/>
  <c r="N4" i="10"/>
  <c r="N54" i="10" s="1"/>
  <c r="AD12" i="10"/>
  <c r="I26" i="10"/>
  <c r="L50" i="1" s="1"/>
  <c r="Y15" i="5"/>
  <c r="L53" i="11"/>
  <c r="L52" i="11" s="1"/>
  <c r="L59" i="11" s="1"/>
  <c r="O54" i="11"/>
  <c r="R42" i="1"/>
  <c r="S42" i="1" s="1"/>
  <c r="Y42" i="4"/>
  <c r="Y41" i="4" s="1"/>
  <c r="T56" i="4"/>
  <c r="S5" i="8"/>
  <c r="AI52" i="4"/>
  <c r="V6" i="8"/>
  <c r="V7" i="8" s="1"/>
  <c r="V8" i="8" s="1"/>
  <c r="V9" i="8" s="1"/>
  <c r="V10" i="8" s="1"/>
  <c r="AD60" i="5"/>
  <c r="AI52" i="5"/>
  <c r="AI42" i="5"/>
  <c r="AI41" i="5" s="1"/>
  <c r="T56" i="5"/>
  <c r="AI56" i="5"/>
  <c r="AI15" i="5"/>
  <c r="AD42" i="5"/>
  <c r="AD41" i="5" s="1"/>
  <c r="V4" i="10"/>
  <c r="V54" i="10" s="1"/>
  <c r="L4" i="10"/>
  <c r="L54" i="10" s="1"/>
  <c r="X4" i="10"/>
  <c r="X54" i="10" s="1"/>
  <c r="Y22" i="4"/>
  <c r="AD56" i="4"/>
  <c r="T29" i="4"/>
  <c r="T15" i="4"/>
  <c r="AD29" i="4"/>
  <c r="AI29" i="4"/>
  <c r="AI15" i="4"/>
  <c r="Y29" i="4"/>
  <c r="AD15" i="4"/>
  <c r="R52" i="1"/>
  <c r="R34" i="1"/>
  <c r="AD52" i="4"/>
  <c r="I34" i="10"/>
  <c r="L58" i="1" s="1"/>
  <c r="J66" i="1"/>
  <c r="J56" i="1"/>
  <c r="J55" i="1" s="1"/>
  <c r="J70" i="1"/>
  <c r="J36" i="1"/>
  <c r="T42" i="4"/>
  <c r="T41" i="4" s="1"/>
  <c r="J43" i="1"/>
  <c r="J29" i="1"/>
  <c r="I6" i="10"/>
  <c r="L30" i="1" s="1"/>
  <c r="AD5" i="10"/>
  <c r="I44" i="10"/>
  <c r="L68" i="1" s="1"/>
  <c r="U4" i="10"/>
  <c r="U54" i="10" s="1"/>
  <c r="I25" i="10"/>
  <c r="L49" i="1" s="1"/>
  <c r="AI5" i="10"/>
  <c r="AI12" i="10"/>
  <c r="AI46" i="10"/>
  <c r="S4" i="10"/>
  <c r="S54" i="10" s="1"/>
  <c r="AI19" i="10"/>
  <c r="T42" i="10"/>
  <c r="Y42" i="10"/>
  <c r="I47" i="10"/>
  <c r="L71" i="1" s="1"/>
  <c r="I21" i="10"/>
  <c r="L45" i="1" s="1"/>
  <c r="AB4" i="10"/>
  <c r="AB54" i="10" s="1"/>
  <c r="G5" i="10"/>
  <c r="G12" i="10"/>
  <c r="I17" i="10"/>
  <c r="I27" i="10"/>
  <c r="L51" i="1" s="1"/>
  <c r="I35" i="10"/>
  <c r="L59" i="1" s="1"/>
  <c r="K71" i="1"/>
  <c r="K70" i="1" s="1"/>
  <c r="AC4" i="10"/>
  <c r="AC54" i="10" s="1"/>
  <c r="P4" i="10"/>
  <c r="P54" i="10" s="1"/>
  <c r="AE4" i="10"/>
  <c r="AE54" i="10" s="1"/>
  <c r="I7" i="10"/>
  <c r="L31" i="1" s="1"/>
  <c r="I14" i="10"/>
  <c r="L38" i="1" s="1"/>
  <c r="O19" i="10"/>
  <c r="I22" i="10"/>
  <c r="L46" i="1" s="1"/>
  <c r="AD32" i="10"/>
  <c r="AD31" i="10" s="1"/>
  <c r="Y32" i="10"/>
  <c r="Y31" i="10" s="1"/>
  <c r="Q4" i="10"/>
  <c r="Q54" i="10" s="1"/>
  <c r="AF4" i="10"/>
  <c r="AF54" i="10" s="1"/>
  <c r="AA4" i="10"/>
  <c r="AA54" i="10" s="1"/>
  <c r="I30" i="10"/>
  <c r="AI32" i="10"/>
  <c r="AI31" i="10" s="1"/>
  <c r="AH41" i="10"/>
  <c r="AH40" i="10" s="1"/>
  <c r="R4" i="10"/>
  <c r="R54" i="10" s="1"/>
  <c r="I11" i="10"/>
  <c r="L35" i="1" s="1"/>
  <c r="I20" i="10"/>
  <c r="L44" i="1" s="1"/>
  <c r="I52" i="10"/>
  <c r="I51" i="10" s="1"/>
  <c r="I50" i="10" s="1"/>
  <c r="K56" i="1"/>
  <c r="K55" i="1" s="1"/>
  <c r="Z41" i="10"/>
  <c r="Z40" i="10" s="1"/>
  <c r="AE41" i="10"/>
  <c r="AE40" i="10" s="1"/>
  <c r="K66" i="1"/>
  <c r="K36" i="1"/>
  <c r="AI42" i="10"/>
  <c r="I45" i="10"/>
  <c r="L69" i="1" s="1"/>
  <c r="AD42" i="10"/>
  <c r="AD41" i="10" s="1"/>
  <c r="AD40" i="10" s="1"/>
  <c r="K43" i="1"/>
  <c r="I49" i="10"/>
  <c r="I43" i="10"/>
  <c r="L67" i="1" s="1"/>
  <c r="K29" i="1"/>
  <c r="O5" i="10"/>
  <c r="O42" i="10"/>
  <c r="T5" i="10"/>
  <c r="T12" i="10"/>
  <c r="T19" i="10"/>
  <c r="I39" i="10"/>
  <c r="T46" i="10"/>
  <c r="J42" i="10"/>
  <c r="Y5" i="10"/>
  <c r="I13" i="10"/>
  <c r="Y19" i="10"/>
  <c r="I33" i="10"/>
  <c r="Y52" i="4"/>
  <c r="R51" i="1"/>
  <c r="O56" i="4"/>
  <c r="O42" i="4"/>
  <c r="O41" i="4" s="1"/>
  <c r="Y15" i="4"/>
  <c r="Y56" i="4"/>
  <c r="R38" i="1"/>
  <c r="AI42" i="4"/>
  <c r="AI41" i="4" s="1"/>
  <c r="AI56" i="4"/>
  <c r="R47" i="1"/>
  <c r="R33" i="1"/>
  <c r="R44" i="1"/>
  <c r="R48" i="1"/>
  <c r="R32" i="1"/>
  <c r="R49" i="1"/>
  <c r="R30" i="1"/>
  <c r="R50" i="1"/>
  <c r="R31" i="1"/>
  <c r="R68" i="1"/>
  <c r="O29" i="4"/>
  <c r="AI29" i="5"/>
  <c r="AI22" i="5"/>
  <c r="Y29" i="5"/>
  <c r="T22" i="5"/>
  <c r="Y22" i="5"/>
  <c r="AD29" i="5"/>
  <c r="AD22" i="5"/>
  <c r="T29" i="5"/>
  <c r="AD15" i="5"/>
  <c r="AC76" i="1" l="1"/>
  <c r="AC75" i="1" s="1"/>
  <c r="AB75" i="1"/>
  <c r="AK75" i="1"/>
  <c r="AL76" i="1"/>
  <c r="AL75" i="1" s="1"/>
  <c r="S76" i="1"/>
  <c r="R75" i="1"/>
  <c r="S75" i="1" s="1"/>
  <c r="AH75" i="1"/>
  <c r="AI76" i="1"/>
  <c r="AI75" i="1" s="1"/>
  <c r="F20" i="9"/>
  <c r="Q60" i="4"/>
  <c r="I61" i="4"/>
  <c r="I60" i="4" s="1"/>
  <c r="AD51" i="5"/>
  <c r="AD50" i="5" s="1"/>
  <c r="T51" i="4"/>
  <c r="T50" i="4" s="1"/>
  <c r="T51" i="5"/>
  <c r="T50" i="5" s="1"/>
  <c r="I16" i="10"/>
  <c r="AI4" i="10"/>
  <c r="J41" i="10"/>
  <c r="J40" i="10" s="1"/>
  <c r="I61" i="11"/>
  <c r="J61" i="11"/>
  <c r="J64" i="11" s="1"/>
  <c r="AD14" i="5"/>
  <c r="T14" i="4"/>
  <c r="O41" i="10"/>
  <c r="O40" i="10" s="1"/>
  <c r="AD4" i="10"/>
  <c r="AD54" i="10" s="1"/>
  <c r="Y51" i="5"/>
  <c r="Y50" i="5" s="1"/>
  <c r="I19" i="10"/>
  <c r="AI54" i="10"/>
  <c r="Y41" i="10"/>
  <c r="Y40" i="10" s="1"/>
  <c r="AI51" i="5"/>
  <c r="AI50" i="5" s="1"/>
  <c r="O51" i="4"/>
  <c r="O50" i="4" s="1"/>
  <c r="T14" i="5"/>
  <c r="AI41" i="10"/>
  <c r="AI40" i="10" s="1"/>
  <c r="I22" i="4"/>
  <c r="R37" i="1"/>
  <c r="AI14" i="5"/>
  <c r="AD51" i="4"/>
  <c r="AD50" i="4" s="1"/>
  <c r="G4" i="10"/>
  <c r="G54" i="10" s="1"/>
  <c r="AI51" i="4"/>
  <c r="AI50" i="4" s="1"/>
  <c r="O4" i="10"/>
  <c r="O54" i="10" s="1"/>
  <c r="L76" i="1"/>
  <c r="L75" i="1" s="1"/>
  <c r="L74" i="1" s="1"/>
  <c r="I39" i="4"/>
  <c r="R54" i="1"/>
  <c r="AI14" i="4"/>
  <c r="Y14" i="5"/>
  <c r="P54" i="11"/>
  <c r="P53" i="11" s="1"/>
  <c r="P52" i="11" s="1"/>
  <c r="P59" i="11" s="1"/>
  <c r="O53" i="11"/>
  <c r="O52" i="11" s="1"/>
  <c r="O59" i="11" s="1"/>
  <c r="I54" i="11"/>
  <c r="I53" i="11" s="1"/>
  <c r="I52" i="11" s="1"/>
  <c r="I59" i="11" s="1"/>
  <c r="I70" i="11" s="1"/>
  <c r="I71" i="11" s="1"/>
  <c r="V11" i="8"/>
  <c r="V12" i="8" s="1"/>
  <c r="R41" i="1"/>
  <c r="AD14" i="4"/>
  <c r="Y51" i="4"/>
  <c r="Y14" i="4"/>
  <c r="J65" i="1"/>
  <c r="J64" i="1" s="1"/>
  <c r="J28" i="1"/>
  <c r="L43" i="1"/>
  <c r="L41" i="1"/>
  <c r="I12" i="10"/>
  <c r="L37" i="1"/>
  <c r="L29" i="1"/>
  <c r="I32" i="10"/>
  <c r="I31" i="10" s="1"/>
  <c r="L57" i="1"/>
  <c r="T41" i="10"/>
  <c r="T40" i="10" s="1"/>
  <c r="I5" i="10"/>
  <c r="I38" i="10"/>
  <c r="I37" i="10" s="1"/>
  <c r="L63" i="1"/>
  <c r="I29" i="10"/>
  <c r="L53" i="1" s="1"/>
  <c r="L54" i="1"/>
  <c r="K65" i="1"/>
  <c r="K64" i="1" s="1"/>
  <c r="I46" i="10"/>
  <c r="L73" i="1"/>
  <c r="K28" i="1"/>
  <c r="I42" i="10"/>
  <c r="L66" i="1"/>
  <c r="T4" i="10"/>
  <c r="T54" i="10" s="1"/>
  <c r="Y4" i="10"/>
  <c r="Y54" i="10" s="1"/>
  <c r="I29" i="4"/>
  <c r="I42" i="4"/>
  <c r="I41" i="4" s="1"/>
  <c r="R40" i="1" l="1"/>
  <c r="R60" i="4"/>
  <c r="L64" i="11"/>
  <c r="P64" i="11"/>
  <c r="P63" i="11" s="1"/>
  <c r="P62" i="11" s="1"/>
  <c r="J63" i="11"/>
  <c r="J62" i="11" s="1"/>
  <c r="I41" i="10"/>
  <c r="I40" i="10" s="1"/>
  <c r="V13" i="8"/>
  <c r="V14" i="8" s="1"/>
  <c r="I4" i="10"/>
  <c r="L62" i="1"/>
  <c r="L61" i="1" s="1"/>
  <c r="L36" i="1"/>
  <c r="L40" i="1"/>
  <c r="L56" i="1"/>
  <c r="L55" i="1" s="1"/>
  <c r="L70" i="1"/>
  <c r="L65" i="1" s="1"/>
  <c r="L64" i="1" s="1"/>
  <c r="AN27" i="1"/>
  <c r="AK27" i="1"/>
  <c r="AH27" i="1"/>
  <c r="AE27" i="1"/>
  <c r="AB27" i="1"/>
  <c r="AD16" i="1"/>
  <c r="AD21" i="1" s="1"/>
  <c r="AD24" i="1" s="1"/>
  <c r="AD88" i="1" s="1"/>
  <c r="AF88" i="1" s="1"/>
  <c r="AN18" i="1"/>
  <c r="AK18" i="1"/>
  <c r="AH18" i="1"/>
  <c r="AE18" i="1"/>
  <c r="Y16" i="1"/>
  <c r="AA16" i="1"/>
  <c r="X16" i="1"/>
  <c r="AB18" i="1"/>
  <c r="Y18" i="1"/>
  <c r="Y27" i="1"/>
  <c r="D51" i="6"/>
  <c r="U76" i="1" s="1"/>
  <c r="D48" i="6"/>
  <c r="U73" i="1" s="1"/>
  <c r="D47" i="6"/>
  <c r="U72" i="1" s="1"/>
  <c r="D46" i="6"/>
  <c r="U71" i="1" s="1"/>
  <c r="D44" i="6"/>
  <c r="U69" i="1" s="1"/>
  <c r="D43" i="6"/>
  <c r="U68" i="1" s="1"/>
  <c r="D42" i="6"/>
  <c r="U67" i="1" s="1"/>
  <c r="D38" i="6"/>
  <c r="D37" i="6" s="1"/>
  <c r="D35" i="6"/>
  <c r="U60" i="1" s="1"/>
  <c r="D34" i="6"/>
  <c r="U59" i="1" s="1"/>
  <c r="D33" i="6"/>
  <c r="U58" i="1" s="1"/>
  <c r="D32" i="6"/>
  <c r="U57" i="1" s="1"/>
  <c r="D29" i="6"/>
  <c r="D28" i="6" s="1"/>
  <c r="U53" i="1" s="1"/>
  <c r="D27" i="6"/>
  <c r="U52" i="1" s="1"/>
  <c r="D26" i="6"/>
  <c r="U51" i="1" s="1"/>
  <c r="D25" i="6"/>
  <c r="U50" i="1" s="1"/>
  <c r="D24" i="6"/>
  <c r="U49" i="1" s="1"/>
  <c r="D23" i="6"/>
  <c r="U48" i="1" s="1"/>
  <c r="D22" i="6"/>
  <c r="U47" i="1" s="1"/>
  <c r="D21" i="6"/>
  <c r="U46" i="1" s="1"/>
  <c r="D20" i="6"/>
  <c r="U45" i="1" s="1"/>
  <c r="D19" i="6"/>
  <c r="U44" i="1" s="1"/>
  <c r="D17" i="6"/>
  <c r="D16" i="6" s="1"/>
  <c r="D15" i="6"/>
  <c r="D14" i="6"/>
  <c r="U38" i="1" s="1"/>
  <c r="D13" i="6"/>
  <c r="U37" i="1" s="1"/>
  <c r="D7" i="6"/>
  <c r="U31" i="1" s="1"/>
  <c r="D8" i="6"/>
  <c r="U32" i="1" s="1"/>
  <c r="D9" i="6"/>
  <c r="U33" i="1" s="1"/>
  <c r="D10" i="6"/>
  <c r="U34" i="1" s="1"/>
  <c r="D11" i="6"/>
  <c r="U35" i="1" s="1"/>
  <c r="D6" i="6"/>
  <c r="U30" i="1" s="1"/>
  <c r="U54" i="1"/>
  <c r="U66" i="1"/>
  <c r="U70" i="1"/>
  <c r="I50" i="6"/>
  <c r="I49" i="6" s="1"/>
  <c r="H49" i="6"/>
  <c r="F50" i="6"/>
  <c r="F49" i="6" s="1"/>
  <c r="J50" i="6"/>
  <c r="J49" i="6" s="1"/>
  <c r="G50" i="6"/>
  <c r="G49" i="6" s="1"/>
  <c r="J40" i="6"/>
  <c r="J39" i="6" s="1"/>
  <c r="I40" i="6"/>
  <c r="I39" i="6" s="1"/>
  <c r="H40" i="6"/>
  <c r="H39" i="6" s="1"/>
  <c r="G40" i="6"/>
  <c r="G39" i="6" s="1"/>
  <c r="F40" i="6"/>
  <c r="F39" i="6" s="1"/>
  <c r="J37" i="6"/>
  <c r="J36" i="6" s="1"/>
  <c r="I37" i="6"/>
  <c r="I36" i="6" s="1"/>
  <c r="H37" i="6"/>
  <c r="H36" i="6" s="1"/>
  <c r="G37" i="6"/>
  <c r="G36" i="6" s="1"/>
  <c r="F37" i="6"/>
  <c r="F36" i="6" s="1"/>
  <c r="J31" i="6"/>
  <c r="J30" i="6" s="1"/>
  <c r="I31" i="6"/>
  <c r="I30" i="6" s="1"/>
  <c r="H31" i="6"/>
  <c r="H30" i="6" s="1"/>
  <c r="G31" i="6"/>
  <c r="G30" i="6" s="1"/>
  <c r="F31" i="6"/>
  <c r="F30" i="6" s="1"/>
  <c r="J28" i="6"/>
  <c r="I28" i="6"/>
  <c r="H28" i="6"/>
  <c r="G28" i="6"/>
  <c r="F28" i="6"/>
  <c r="J18" i="6"/>
  <c r="I18" i="6"/>
  <c r="H18" i="6"/>
  <c r="G18" i="6"/>
  <c r="F18" i="6"/>
  <c r="F16" i="6"/>
  <c r="J16" i="6"/>
  <c r="I16" i="6"/>
  <c r="H16" i="6"/>
  <c r="G16" i="6"/>
  <c r="J12" i="6"/>
  <c r="I12" i="6"/>
  <c r="H12" i="6"/>
  <c r="G12" i="6"/>
  <c r="F12" i="6"/>
  <c r="I5" i="6"/>
  <c r="H5" i="6"/>
  <c r="G5" i="6"/>
  <c r="F5" i="6"/>
  <c r="J5" i="6"/>
  <c r="Y77" i="1" l="1"/>
  <c r="Y76" i="1"/>
  <c r="V15" i="8"/>
  <c r="S60" i="4"/>
  <c r="AD42" i="1"/>
  <c r="AA42" i="1"/>
  <c r="X42" i="1"/>
  <c r="I54" i="10"/>
  <c r="D50" i="6"/>
  <c r="D49" i="6" s="1"/>
  <c r="U74" i="1" s="1"/>
  <c r="L63" i="11"/>
  <c r="L62" i="11" s="1"/>
  <c r="I64" i="11"/>
  <c r="I63" i="11" s="1"/>
  <c r="I62" i="11" s="1"/>
  <c r="D36" i="6"/>
  <c r="U61" i="1" s="1"/>
  <c r="U62" i="1"/>
  <c r="D5" i="6"/>
  <c r="U63" i="1"/>
  <c r="D18" i="6"/>
  <c r="U43" i="1" s="1"/>
  <c r="D12" i="6"/>
  <c r="U36" i="1" s="1"/>
  <c r="D31" i="6"/>
  <c r="AD72" i="1"/>
  <c r="AD68" i="1"/>
  <c r="Y72" i="1"/>
  <c r="Y68" i="1"/>
  <c r="AA72" i="1"/>
  <c r="AA68" i="1"/>
  <c r="X72" i="1"/>
  <c r="X68" i="1"/>
  <c r="D40" i="6"/>
  <c r="Y42" i="1"/>
  <c r="L28" i="1"/>
  <c r="L79" i="1" s="1"/>
  <c r="Y59" i="1"/>
  <c r="Y34" i="1"/>
  <c r="Y58" i="1"/>
  <c r="Y57" i="1"/>
  <c r="Y30" i="1"/>
  <c r="Y54" i="1"/>
  <c r="Y53" i="1" s="1"/>
  <c r="Y52" i="1"/>
  <c r="Y44" i="1"/>
  <c r="Y31" i="1"/>
  <c r="Y51" i="1"/>
  <c r="Y50" i="1"/>
  <c r="Y45" i="1"/>
  <c r="Y32" i="1"/>
  <c r="Y33" i="1"/>
  <c r="Y63" i="1"/>
  <c r="Y62" i="1" s="1"/>
  <c r="Y61" i="1" s="1"/>
  <c r="Y60" i="1"/>
  <c r="Y39" i="1"/>
  <c r="Y46" i="1"/>
  <c r="Y37" i="1"/>
  <c r="Y49" i="1"/>
  <c r="Y41" i="1"/>
  <c r="Y48" i="1"/>
  <c r="Y47" i="1"/>
  <c r="Y38" i="1"/>
  <c r="AD59" i="1"/>
  <c r="AD35" i="1"/>
  <c r="AD50" i="1"/>
  <c r="AD44" i="1"/>
  <c r="AD58" i="1"/>
  <c r="AD34" i="1"/>
  <c r="AD46" i="1"/>
  <c r="AD37" i="1"/>
  <c r="AD30" i="1"/>
  <c r="AD49" i="1"/>
  <c r="AD41" i="1"/>
  <c r="AD63" i="1"/>
  <c r="AD57" i="1"/>
  <c r="AD33" i="1"/>
  <c r="AD48" i="1"/>
  <c r="AD54" i="1"/>
  <c r="AD39" i="1"/>
  <c r="AD32" i="1"/>
  <c r="AD38" i="1"/>
  <c r="AD60" i="1"/>
  <c r="AD47" i="1"/>
  <c r="AD31" i="1"/>
  <c r="AD52" i="1"/>
  <c r="AD51" i="1"/>
  <c r="AD45" i="1"/>
  <c r="X58" i="1"/>
  <c r="X57" i="1"/>
  <c r="X52" i="1"/>
  <c r="X51" i="1"/>
  <c r="X50" i="1"/>
  <c r="X37" i="1"/>
  <c r="X63" i="1"/>
  <c r="X62" i="1" s="1"/>
  <c r="X61" i="1" s="1"/>
  <c r="X48" i="1"/>
  <c r="X47" i="1"/>
  <c r="X46" i="1"/>
  <c r="X45" i="1"/>
  <c r="X31" i="1"/>
  <c r="X60" i="1"/>
  <c r="X59" i="1"/>
  <c r="X32" i="1"/>
  <c r="X33" i="1"/>
  <c r="X34" i="1"/>
  <c r="X49" i="1"/>
  <c r="X39" i="1"/>
  <c r="X38" i="1"/>
  <c r="X54" i="1"/>
  <c r="X53" i="1" s="1"/>
  <c r="X44" i="1"/>
  <c r="X30" i="1"/>
  <c r="AA63" i="1"/>
  <c r="AA47" i="1"/>
  <c r="AA38" i="1"/>
  <c r="AA31" i="1"/>
  <c r="AA52" i="1"/>
  <c r="AA46" i="1"/>
  <c r="AA37" i="1"/>
  <c r="AA30" i="1"/>
  <c r="AA49" i="1"/>
  <c r="AA57" i="1"/>
  <c r="AA60" i="1"/>
  <c r="AA51" i="1"/>
  <c r="AA45" i="1"/>
  <c r="AA35" i="1"/>
  <c r="AA59" i="1"/>
  <c r="AA50" i="1"/>
  <c r="AA44" i="1"/>
  <c r="AA41" i="1"/>
  <c r="AA33" i="1"/>
  <c r="AA58" i="1"/>
  <c r="AA34" i="1"/>
  <c r="AA54" i="1"/>
  <c r="AA48" i="1"/>
  <c r="AA39" i="1"/>
  <c r="AA32" i="1"/>
  <c r="AG16" i="1"/>
  <c r="AG21" i="1" s="1"/>
  <c r="AG24" i="1" s="1"/>
  <c r="AG88" i="1" s="1"/>
  <c r="AI88" i="1" s="1"/>
  <c r="AE16" i="1"/>
  <c r="AB16" i="1"/>
  <c r="F4" i="6"/>
  <c r="U41" i="1"/>
  <c r="U40" i="1" s="1"/>
  <c r="U39" i="1"/>
  <c r="J4" i="6"/>
  <c r="H4" i="6"/>
  <c r="I4" i="6"/>
  <c r="G4" i="6"/>
  <c r="U29" i="1"/>
  <c r="Y75" i="1" l="1"/>
  <c r="V16" i="8"/>
  <c r="T60" i="4"/>
  <c r="AD40" i="1"/>
  <c r="AA40" i="1"/>
  <c r="Z42" i="1"/>
  <c r="AG42" i="1"/>
  <c r="D4" i="6"/>
  <c r="U75" i="1"/>
  <c r="D30" i="6"/>
  <c r="U55" i="1" s="1"/>
  <c r="U56" i="1"/>
  <c r="AG68" i="1"/>
  <c r="AG72" i="1"/>
  <c r="AE68" i="1"/>
  <c r="AF68" i="1" s="1"/>
  <c r="AE72" i="1"/>
  <c r="AF72" i="1" s="1"/>
  <c r="AB72" i="1"/>
  <c r="AC72" i="1" s="1"/>
  <c r="AB68" i="1"/>
  <c r="AC68" i="1" s="1"/>
  <c r="D39" i="6"/>
  <c r="U65" i="1"/>
  <c r="Y40" i="1"/>
  <c r="AE42" i="1"/>
  <c r="AF42" i="1" s="1"/>
  <c r="AB42" i="1"/>
  <c r="AC42" i="1" s="1"/>
  <c r="Z51" i="1"/>
  <c r="Z59" i="1"/>
  <c r="Z32" i="1"/>
  <c r="Z58" i="1"/>
  <c r="Z34" i="1"/>
  <c r="Z44" i="1"/>
  <c r="Z38" i="1"/>
  <c r="Z37" i="1"/>
  <c r="Z50" i="1"/>
  <c r="Z46" i="1"/>
  <c r="Z57" i="1"/>
  <c r="Z63" i="1"/>
  <c r="Z62" i="1" s="1"/>
  <c r="Z61" i="1" s="1"/>
  <c r="Z30" i="1"/>
  <c r="Z31" i="1"/>
  <c r="Y43" i="1"/>
  <c r="Z72" i="1"/>
  <c r="Z68" i="1"/>
  <c r="Z33" i="1"/>
  <c r="Z52" i="1"/>
  <c r="Z47" i="1"/>
  <c r="Y36" i="1"/>
  <c r="Y56" i="1"/>
  <c r="Y55" i="1" s="1"/>
  <c r="AD62" i="1"/>
  <c r="AD61" i="1" s="1"/>
  <c r="AD36" i="1"/>
  <c r="AA43" i="1"/>
  <c r="X36" i="1"/>
  <c r="AA36" i="1"/>
  <c r="AD29" i="1"/>
  <c r="AA56" i="1"/>
  <c r="AA55" i="1" s="1"/>
  <c r="Z39" i="1"/>
  <c r="AD53" i="1"/>
  <c r="Z48" i="1"/>
  <c r="AE50" i="1"/>
  <c r="AF50" i="1" s="1"/>
  <c r="AE44" i="1"/>
  <c r="AE58" i="1"/>
  <c r="AF58" i="1" s="1"/>
  <c r="AE34" i="1"/>
  <c r="AF34" i="1" s="1"/>
  <c r="AE49" i="1"/>
  <c r="AF49" i="1" s="1"/>
  <c r="AE41" i="1"/>
  <c r="AE46" i="1"/>
  <c r="AF46" i="1" s="1"/>
  <c r="AE19" i="1"/>
  <c r="AE45" i="1"/>
  <c r="AF45" i="1" s="1"/>
  <c r="AE57" i="1"/>
  <c r="AF57" i="1" s="1"/>
  <c r="AE33" i="1"/>
  <c r="AF33" i="1" s="1"/>
  <c r="AE60" i="1"/>
  <c r="AF60" i="1" s="1"/>
  <c r="AE48" i="1"/>
  <c r="AF48" i="1" s="1"/>
  <c r="AE54" i="1"/>
  <c r="AE53" i="1" s="1"/>
  <c r="AE39" i="1"/>
  <c r="AF39" i="1" s="1"/>
  <c r="AE32" i="1"/>
  <c r="AF32" i="1" s="1"/>
  <c r="AE37" i="1"/>
  <c r="AE47" i="1"/>
  <c r="AF47" i="1" s="1"/>
  <c r="AE30" i="1"/>
  <c r="AE63" i="1"/>
  <c r="AE62" i="1" s="1"/>
  <c r="AE61" i="1" s="1"/>
  <c r="AE38" i="1"/>
  <c r="AF38" i="1" s="1"/>
  <c r="AE31" i="1"/>
  <c r="AF31" i="1" s="1"/>
  <c r="AE51" i="1"/>
  <c r="AF51" i="1" s="1"/>
  <c r="AE52" i="1"/>
  <c r="AF52" i="1" s="1"/>
  <c r="AE59" i="1"/>
  <c r="AF59" i="1" s="1"/>
  <c r="AE35" i="1"/>
  <c r="AF35" i="1" s="1"/>
  <c r="AD43" i="1"/>
  <c r="AB38" i="1"/>
  <c r="AC38" i="1" s="1"/>
  <c r="AB31" i="1"/>
  <c r="AC31" i="1" s="1"/>
  <c r="AB52" i="1"/>
  <c r="AC52" i="1" s="1"/>
  <c r="AB46" i="1"/>
  <c r="AC46" i="1" s="1"/>
  <c r="AB60" i="1"/>
  <c r="AC60" i="1" s="1"/>
  <c r="AB37" i="1"/>
  <c r="AB30" i="1"/>
  <c r="AB51" i="1"/>
  <c r="AC51" i="1" s="1"/>
  <c r="AB57" i="1"/>
  <c r="AC57" i="1" s="1"/>
  <c r="AB45" i="1"/>
  <c r="AC45" i="1" s="1"/>
  <c r="AB54" i="1"/>
  <c r="AB53" i="1" s="1"/>
  <c r="AB59" i="1"/>
  <c r="AC59" i="1" s="1"/>
  <c r="AB35" i="1"/>
  <c r="AC35" i="1" s="1"/>
  <c r="AB50" i="1"/>
  <c r="AC50" i="1" s="1"/>
  <c r="AB44" i="1"/>
  <c r="AB33" i="1"/>
  <c r="AC33" i="1" s="1"/>
  <c r="AB58" i="1"/>
  <c r="AC58" i="1" s="1"/>
  <c r="AB34" i="1"/>
  <c r="AC34" i="1" s="1"/>
  <c r="AB49" i="1"/>
  <c r="AC49" i="1" s="1"/>
  <c r="AB41" i="1"/>
  <c r="AB48" i="1"/>
  <c r="AC48" i="1" s="1"/>
  <c r="AB63" i="1"/>
  <c r="AB62" i="1" s="1"/>
  <c r="AB61" i="1" s="1"/>
  <c r="AB47" i="1"/>
  <c r="AC47" i="1" s="1"/>
  <c r="AB39" i="1"/>
  <c r="AC39" i="1" s="1"/>
  <c r="AB32" i="1"/>
  <c r="AC32" i="1" s="1"/>
  <c r="AB74" i="1"/>
  <c r="AA62" i="1"/>
  <c r="AA61" i="1" s="1"/>
  <c r="AD56" i="1"/>
  <c r="AD55" i="1" s="1"/>
  <c r="Z54" i="1"/>
  <c r="Z53" i="1" s="1"/>
  <c r="AA29" i="1"/>
  <c r="AA53" i="1"/>
  <c r="AG50" i="1"/>
  <c r="AG44" i="1"/>
  <c r="AG58" i="1"/>
  <c r="AG34" i="1"/>
  <c r="AG49" i="1"/>
  <c r="AG41" i="1"/>
  <c r="AG37" i="1"/>
  <c r="AG51" i="1"/>
  <c r="AG60" i="1"/>
  <c r="AG57" i="1"/>
  <c r="AG33" i="1"/>
  <c r="AG48" i="1"/>
  <c r="AG63" i="1"/>
  <c r="AG39" i="1"/>
  <c r="AG45" i="1"/>
  <c r="AG54" i="1"/>
  <c r="AG32" i="1"/>
  <c r="AG30" i="1"/>
  <c r="AG47" i="1"/>
  <c r="AG38" i="1"/>
  <c r="AG31" i="1"/>
  <c r="AG52" i="1"/>
  <c r="AG46" i="1"/>
  <c r="AG35" i="1"/>
  <c r="AG59" i="1"/>
  <c r="Z45" i="1"/>
  <c r="X56" i="1"/>
  <c r="X55" i="1" s="1"/>
  <c r="Z49" i="1"/>
  <c r="X43" i="1"/>
  <c r="AJ16" i="1"/>
  <c r="AJ21" i="1" s="1"/>
  <c r="AJ24" i="1" s="1"/>
  <c r="AJ88" i="1" s="1"/>
  <c r="AL88" i="1" s="1"/>
  <c r="AH16" i="1"/>
  <c r="Z60" i="1"/>
  <c r="V17" i="8" l="1"/>
  <c r="V19" i="8" s="1"/>
  <c r="V21" i="8" s="1"/>
  <c r="V23" i="8" s="1"/>
  <c r="V25" i="8" s="1"/>
  <c r="U60" i="4"/>
  <c r="AG40" i="1"/>
  <c r="AJ42" i="1"/>
  <c r="AJ72" i="1"/>
  <c r="AJ68" i="1"/>
  <c r="AH72" i="1"/>
  <c r="AI72" i="1" s="1"/>
  <c r="AH68" i="1"/>
  <c r="AI68" i="1" s="1"/>
  <c r="D53" i="6"/>
  <c r="C22" i="9" s="1"/>
  <c r="F22" i="9" s="1"/>
  <c r="G22" i="9" s="1"/>
  <c r="U64" i="1"/>
  <c r="AE40" i="1"/>
  <c r="AB40" i="1"/>
  <c r="AH42" i="1"/>
  <c r="AI42" i="1" s="1"/>
  <c r="AE74" i="1"/>
  <c r="Z36" i="1"/>
  <c r="Z56" i="1"/>
  <c r="Z55" i="1" s="1"/>
  <c r="AF54" i="1"/>
  <c r="AF53" i="1" s="1"/>
  <c r="AF63" i="1"/>
  <c r="AF62" i="1" s="1"/>
  <c r="AF61" i="1" s="1"/>
  <c r="AE36" i="1"/>
  <c r="AC41" i="1"/>
  <c r="AC40" i="1" s="1"/>
  <c r="AB29" i="1"/>
  <c r="AF56" i="1"/>
  <c r="AF55" i="1" s="1"/>
  <c r="AE56" i="1"/>
  <c r="AE55" i="1" s="1"/>
  <c r="AG56" i="1"/>
  <c r="AG55" i="1" s="1"/>
  <c r="AC63" i="1"/>
  <c r="AC62" i="1" s="1"/>
  <c r="AC61" i="1" s="1"/>
  <c r="AG53" i="1"/>
  <c r="AG43" i="1"/>
  <c r="AC56" i="1"/>
  <c r="AC55" i="1" s="1"/>
  <c r="AB56" i="1"/>
  <c r="AB55" i="1" s="1"/>
  <c r="AG29" i="1"/>
  <c r="AE29" i="1"/>
  <c r="AG36" i="1"/>
  <c r="AF37" i="1"/>
  <c r="AF36" i="1" s="1"/>
  <c r="AC30" i="1"/>
  <c r="AC29" i="1" s="1"/>
  <c r="AA28" i="1"/>
  <c r="AB43" i="1"/>
  <c r="AB36" i="1"/>
  <c r="AF30" i="1"/>
  <c r="AF29" i="1" s="1"/>
  <c r="AC54" i="1"/>
  <c r="AC53" i="1" s="1"/>
  <c r="AC44" i="1"/>
  <c r="AC43" i="1" s="1"/>
  <c r="AF41" i="1"/>
  <c r="AF40" i="1" s="1"/>
  <c r="AD28" i="1"/>
  <c r="AH58" i="1"/>
  <c r="AI58" i="1" s="1"/>
  <c r="AH34" i="1"/>
  <c r="AI34" i="1" s="1"/>
  <c r="AH49" i="1"/>
  <c r="AI49" i="1" s="1"/>
  <c r="AH41" i="1"/>
  <c r="AH57" i="1"/>
  <c r="AI57" i="1" s="1"/>
  <c r="AH33" i="1"/>
  <c r="AI33" i="1" s="1"/>
  <c r="AH30" i="1"/>
  <c r="AH48" i="1"/>
  <c r="AI48" i="1" s="1"/>
  <c r="AH35" i="1"/>
  <c r="AI35" i="1" s="1"/>
  <c r="AH63" i="1"/>
  <c r="AH62" i="1" s="1"/>
  <c r="AH61" i="1" s="1"/>
  <c r="AH54" i="1"/>
  <c r="AH53" i="1" s="1"/>
  <c r="AH39" i="1"/>
  <c r="AI39" i="1" s="1"/>
  <c r="AH32" i="1"/>
  <c r="AI32" i="1" s="1"/>
  <c r="AH45" i="1"/>
  <c r="AI45" i="1" s="1"/>
  <c r="AH47" i="1"/>
  <c r="AI47" i="1" s="1"/>
  <c r="AH60" i="1"/>
  <c r="AI60" i="1" s="1"/>
  <c r="AH59" i="1"/>
  <c r="AI59" i="1" s="1"/>
  <c r="AH38" i="1"/>
  <c r="AI38" i="1" s="1"/>
  <c r="AH31" i="1"/>
  <c r="AI31" i="1" s="1"/>
  <c r="AH37" i="1"/>
  <c r="AH74" i="1"/>
  <c r="AH52" i="1"/>
  <c r="AI52" i="1" s="1"/>
  <c r="AH46" i="1"/>
  <c r="AI46" i="1" s="1"/>
  <c r="AH51" i="1"/>
  <c r="AI51" i="1" s="1"/>
  <c r="AH50" i="1"/>
  <c r="AI50" i="1" s="1"/>
  <c r="AH44" i="1"/>
  <c r="AJ38" i="1"/>
  <c r="AJ31" i="1"/>
  <c r="AJ63" i="1"/>
  <c r="AJ52" i="1"/>
  <c r="AJ46" i="1"/>
  <c r="AJ37" i="1"/>
  <c r="AJ30" i="1"/>
  <c r="AJ32" i="1"/>
  <c r="AJ60" i="1"/>
  <c r="AJ51" i="1"/>
  <c r="AJ45" i="1"/>
  <c r="AJ48" i="1"/>
  <c r="AJ35" i="1"/>
  <c r="AJ39" i="1"/>
  <c r="AJ59" i="1"/>
  <c r="AJ50" i="1"/>
  <c r="AJ44" i="1"/>
  <c r="AJ57" i="1"/>
  <c r="AJ34" i="1"/>
  <c r="AJ58" i="1"/>
  <c r="AJ49" i="1"/>
  <c r="AJ41" i="1"/>
  <c r="AJ33" i="1"/>
  <c r="AJ54" i="1"/>
  <c r="AJ47" i="1"/>
  <c r="AG62" i="1"/>
  <c r="AG61" i="1" s="1"/>
  <c r="AF44" i="1"/>
  <c r="AF43" i="1" s="1"/>
  <c r="AE43" i="1"/>
  <c r="AC37" i="1"/>
  <c r="AC36" i="1" s="1"/>
  <c r="Z43" i="1"/>
  <c r="AK16" i="1"/>
  <c r="AM16" i="1"/>
  <c r="AM21" i="1" s="1"/>
  <c r="AM24" i="1" s="1"/>
  <c r="AM88" i="1" s="1"/>
  <c r="AO88" i="1" s="1"/>
  <c r="V76" i="1"/>
  <c r="V75" i="1" s="1"/>
  <c r="V74" i="1" s="1"/>
  <c r="P76" i="1"/>
  <c r="P73" i="1"/>
  <c r="V72" i="1"/>
  <c r="Q72" i="1"/>
  <c r="P72" i="1"/>
  <c r="P71" i="1"/>
  <c r="P69" i="1"/>
  <c r="V68" i="1"/>
  <c r="Q68" i="1"/>
  <c r="P68" i="1"/>
  <c r="P67" i="1"/>
  <c r="V63" i="1"/>
  <c r="V62" i="1" s="1"/>
  <c r="V61" i="1" s="1"/>
  <c r="Q63" i="1"/>
  <c r="P63" i="1"/>
  <c r="Q60" i="1"/>
  <c r="P60" i="1"/>
  <c r="Q59" i="1"/>
  <c r="P59" i="1"/>
  <c r="Q58" i="1"/>
  <c r="P58" i="1"/>
  <c r="Q57" i="1"/>
  <c r="P57" i="1"/>
  <c r="V54" i="1"/>
  <c r="V53" i="1" s="1"/>
  <c r="Q54" i="1"/>
  <c r="P54" i="1"/>
  <c r="V52" i="1"/>
  <c r="Q52" i="1"/>
  <c r="P52" i="1"/>
  <c r="V51" i="1"/>
  <c r="Q51" i="1"/>
  <c r="P51" i="1"/>
  <c r="V50" i="1"/>
  <c r="Q50" i="1"/>
  <c r="P50" i="1"/>
  <c r="Q49" i="1"/>
  <c r="P49" i="1"/>
  <c r="V48" i="1"/>
  <c r="Q48" i="1"/>
  <c r="P48" i="1"/>
  <c r="V47" i="1"/>
  <c r="Q47" i="1"/>
  <c r="P47" i="1"/>
  <c r="V46" i="1"/>
  <c r="Q46" i="1"/>
  <c r="P46" i="1"/>
  <c r="Q45" i="1"/>
  <c r="P45" i="1"/>
  <c r="Q44" i="1"/>
  <c r="P44" i="1"/>
  <c r="V41" i="1"/>
  <c r="V40" i="1" s="1"/>
  <c r="Q41" i="1"/>
  <c r="Q40" i="1" s="1"/>
  <c r="P41" i="1"/>
  <c r="P40" i="1" s="1"/>
  <c r="V39" i="1"/>
  <c r="Q39" i="1"/>
  <c r="P39" i="1"/>
  <c r="Q38" i="1"/>
  <c r="P38" i="1"/>
  <c r="Q37" i="1"/>
  <c r="P37" i="1"/>
  <c r="P35" i="1"/>
  <c r="V34" i="1"/>
  <c r="Q34" i="1"/>
  <c r="P34" i="1"/>
  <c r="Q33" i="1"/>
  <c r="P33" i="1"/>
  <c r="V32" i="1"/>
  <c r="Q32" i="1"/>
  <c r="P32" i="1"/>
  <c r="V31" i="1"/>
  <c r="Q31" i="1"/>
  <c r="P31" i="1"/>
  <c r="P30" i="1"/>
  <c r="Q30" i="1"/>
  <c r="G63" i="1"/>
  <c r="G60" i="1"/>
  <c r="G59" i="1"/>
  <c r="G58" i="1"/>
  <c r="G57" i="1"/>
  <c r="G39" i="1"/>
  <c r="G38" i="1"/>
  <c r="G37" i="1"/>
  <c r="G31" i="1"/>
  <c r="S31" i="1" s="1"/>
  <c r="G32" i="1"/>
  <c r="S32" i="1" s="1"/>
  <c r="G33" i="1"/>
  <c r="S33" i="1" s="1"/>
  <c r="G34" i="1"/>
  <c r="S34" i="1" s="1"/>
  <c r="G30" i="1"/>
  <c r="S30" i="1" s="1"/>
  <c r="F72" i="1"/>
  <c r="F68" i="1"/>
  <c r="F63" i="1"/>
  <c r="F62" i="1" s="1"/>
  <c r="F61" i="1" s="1"/>
  <c r="F60" i="1"/>
  <c r="F59" i="1"/>
  <c r="F58" i="1"/>
  <c r="F57" i="1"/>
  <c r="F54" i="1"/>
  <c r="F53" i="1" s="1"/>
  <c r="F52" i="1"/>
  <c r="F51" i="1"/>
  <c r="F50" i="1"/>
  <c r="F49" i="1"/>
  <c r="F48" i="1"/>
  <c r="F47" i="1"/>
  <c r="F46" i="1"/>
  <c r="F45" i="1"/>
  <c r="F44" i="1"/>
  <c r="F41" i="1"/>
  <c r="F40" i="1" s="1"/>
  <c r="F39" i="1"/>
  <c r="F38" i="1"/>
  <c r="F37" i="1"/>
  <c r="F31" i="1"/>
  <c r="F32" i="1"/>
  <c r="F33" i="1"/>
  <c r="F34" i="1"/>
  <c r="F30" i="1"/>
  <c r="E75" i="1"/>
  <c r="E74" i="1" s="1"/>
  <c r="E73" i="1"/>
  <c r="E72" i="1"/>
  <c r="E71" i="1"/>
  <c r="E69" i="1"/>
  <c r="E68" i="1"/>
  <c r="E67" i="1"/>
  <c r="E63" i="1"/>
  <c r="E62" i="1" s="1"/>
  <c r="E61" i="1" s="1"/>
  <c r="E60" i="1"/>
  <c r="E59" i="1"/>
  <c r="E58" i="1"/>
  <c r="E57" i="1"/>
  <c r="E54" i="1"/>
  <c r="E53" i="1" s="1"/>
  <c r="E52" i="1"/>
  <c r="E51" i="1"/>
  <c r="E50" i="1"/>
  <c r="E49" i="1"/>
  <c r="E48" i="1"/>
  <c r="E47" i="1"/>
  <c r="E46" i="1"/>
  <c r="E45" i="1"/>
  <c r="E44" i="1"/>
  <c r="E41" i="1"/>
  <c r="E40" i="1" s="1"/>
  <c r="E39" i="1"/>
  <c r="E38" i="1"/>
  <c r="E37" i="1"/>
  <c r="E31" i="1"/>
  <c r="E32" i="1"/>
  <c r="E33" i="1"/>
  <c r="E34" i="1"/>
  <c r="E35" i="1"/>
  <c r="E30" i="1"/>
  <c r="D75" i="1"/>
  <c r="D74" i="1" s="1"/>
  <c r="D70" i="1"/>
  <c r="D66" i="1"/>
  <c r="D62" i="1"/>
  <c r="D61" i="1" s="1"/>
  <c r="D56" i="1"/>
  <c r="D55" i="1" s="1"/>
  <c r="D28" i="1"/>
  <c r="J60" i="4"/>
  <c r="J59" i="4"/>
  <c r="J57" i="4"/>
  <c r="J55" i="4"/>
  <c r="J53" i="4"/>
  <c r="J48" i="4"/>
  <c r="J47" i="4" s="1"/>
  <c r="J42" i="4"/>
  <c r="J41" i="4" s="1"/>
  <c r="J39" i="4"/>
  <c r="J29" i="4"/>
  <c r="J22" i="4"/>
  <c r="J21" i="4"/>
  <c r="Q35" i="1" s="1"/>
  <c r="V58" i="1"/>
  <c r="V57" i="1"/>
  <c r="V38" i="1"/>
  <c r="V37" i="1"/>
  <c r="F65" i="4"/>
  <c r="G61" i="4"/>
  <c r="G60" i="4" s="1"/>
  <c r="AH56" i="4"/>
  <c r="AG56" i="4"/>
  <c r="AF56" i="4"/>
  <c r="AE56" i="4"/>
  <c r="AC56" i="4"/>
  <c r="AB56" i="4"/>
  <c r="AA56" i="4"/>
  <c r="Z56" i="4"/>
  <c r="X56" i="4"/>
  <c r="W56" i="4"/>
  <c r="V56" i="4"/>
  <c r="U56" i="4"/>
  <c r="S56" i="4"/>
  <c r="R56" i="4"/>
  <c r="Q56" i="4"/>
  <c r="P56" i="4"/>
  <c r="N56" i="4"/>
  <c r="M56" i="4"/>
  <c r="L56" i="4"/>
  <c r="K56" i="4"/>
  <c r="AH52" i="4"/>
  <c r="AG52" i="4"/>
  <c r="AF52" i="4"/>
  <c r="AE52" i="4"/>
  <c r="AC52" i="4"/>
  <c r="AB52" i="4"/>
  <c r="AA52" i="4"/>
  <c r="Z52" i="4"/>
  <c r="X52" i="4"/>
  <c r="W52" i="4"/>
  <c r="V52" i="4"/>
  <c r="U52" i="4"/>
  <c r="S52" i="4"/>
  <c r="R52" i="4"/>
  <c r="Q52" i="4"/>
  <c r="P52" i="4"/>
  <c r="N52" i="4"/>
  <c r="M52" i="4"/>
  <c r="L52" i="4"/>
  <c r="K52" i="4"/>
  <c r="G51" i="4"/>
  <c r="G50" i="4" s="1"/>
  <c r="AH48" i="4"/>
  <c r="AH47" i="4" s="1"/>
  <c r="AG48" i="4"/>
  <c r="AG47" i="4" s="1"/>
  <c r="AF48" i="4"/>
  <c r="AF47" i="4" s="1"/>
  <c r="AE48" i="4"/>
  <c r="AE47" i="4" s="1"/>
  <c r="AC48" i="4"/>
  <c r="AC47" i="4" s="1"/>
  <c r="AB48" i="4"/>
  <c r="AB47" i="4" s="1"/>
  <c r="AA48" i="4"/>
  <c r="AA47" i="4" s="1"/>
  <c r="Z48" i="4"/>
  <c r="Z47" i="4" s="1"/>
  <c r="X48" i="4"/>
  <c r="X47" i="4" s="1"/>
  <c r="W48" i="4"/>
  <c r="W47" i="4" s="1"/>
  <c r="V48" i="4"/>
  <c r="V47" i="4" s="1"/>
  <c r="U48" i="4"/>
  <c r="U47" i="4" s="1"/>
  <c r="S48" i="4"/>
  <c r="S47" i="4" s="1"/>
  <c r="R48" i="4"/>
  <c r="R47" i="4" s="1"/>
  <c r="Q48" i="4"/>
  <c r="Q47" i="4" s="1"/>
  <c r="P48" i="4"/>
  <c r="P47" i="4" s="1"/>
  <c r="N48" i="4"/>
  <c r="N47" i="4" s="1"/>
  <c r="M48" i="4"/>
  <c r="M47" i="4" s="1"/>
  <c r="L48" i="4"/>
  <c r="L47" i="4" s="1"/>
  <c r="K48" i="4"/>
  <c r="K47" i="4" s="1"/>
  <c r="G48" i="4"/>
  <c r="G47" i="4" s="1"/>
  <c r="AH42" i="4"/>
  <c r="AH41" i="4" s="1"/>
  <c r="AG42" i="4"/>
  <c r="AG41" i="4" s="1"/>
  <c r="AF42" i="4"/>
  <c r="AF41" i="4" s="1"/>
  <c r="AE42" i="4"/>
  <c r="AE41" i="4" s="1"/>
  <c r="AC42" i="4"/>
  <c r="AC41" i="4" s="1"/>
  <c r="AB42" i="4"/>
  <c r="AB41" i="4" s="1"/>
  <c r="AA42" i="4"/>
  <c r="AA41" i="4" s="1"/>
  <c r="Z42" i="4"/>
  <c r="Z41" i="4" s="1"/>
  <c r="X42" i="4"/>
  <c r="X41" i="4" s="1"/>
  <c r="W42" i="4"/>
  <c r="W41" i="4" s="1"/>
  <c r="V42" i="4"/>
  <c r="V41" i="4" s="1"/>
  <c r="U42" i="4"/>
  <c r="U41" i="4" s="1"/>
  <c r="S42" i="4"/>
  <c r="S41" i="4" s="1"/>
  <c r="R42" i="4"/>
  <c r="R41" i="4" s="1"/>
  <c r="Q42" i="4"/>
  <c r="Q41" i="4" s="1"/>
  <c r="P42" i="4"/>
  <c r="P41" i="4" s="1"/>
  <c r="N42" i="4"/>
  <c r="N41" i="4" s="1"/>
  <c r="M42" i="4"/>
  <c r="M41" i="4" s="1"/>
  <c r="L42" i="4"/>
  <c r="L41" i="4" s="1"/>
  <c r="K42" i="4"/>
  <c r="K41" i="4" s="1"/>
  <c r="G42" i="4"/>
  <c r="G41" i="4" s="1"/>
  <c r="G40" i="4"/>
  <c r="G39" i="4" s="1"/>
  <c r="AH39" i="4"/>
  <c r="AG39" i="4"/>
  <c r="AF39" i="4"/>
  <c r="AE39" i="4"/>
  <c r="AC39" i="4"/>
  <c r="AB39" i="4"/>
  <c r="AA39" i="4"/>
  <c r="Z39" i="4"/>
  <c r="X39" i="4"/>
  <c r="W39" i="4"/>
  <c r="V39" i="4"/>
  <c r="U39" i="4"/>
  <c r="S39" i="4"/>
  <c r="R39" i="4"/>
  <c r="Q39" i="4"/>
  <c r="P39" i="4"/>
  <c r="N39" i="4"/>
  <c r="M39" i="4"/>
  <c r="L39" i="4"/>
  <c r="K39" i="4"/>
  <c r="F39" i="4"/>
  <c r="E39" i="4"/>
  <c r="D39" i="4"/>
  <c r="G38" i="4"/>
  <c r="G37" i="4"/>
  <c r="G36" i="4"/>
  <c r="G35" i="4"/>
  <c r="G34" i="4"/>
  <c r="G33" i="4"/>
  <c r="G32" i="4"/>
  <c r="G31" i="4"/>
  <c r="G30" i="4"/>
  <c r="AH29" i="4"/>
  <c r="AG29" i="4"/>
  <c r="AF29" i="4"/>
  <c r="AE29" i="4"/>
  <c r="AC29" i="4"/>
  <c r="AB29" i="4"/>
  <c r="AA29" i="4"/>
  <c r="Z29" i="4"/>
  <c r="X29" i="4"/>
  <c r="W29" i="4"/>
  <c r="V29" i="4"/>
  <c r="U29" i="4"/>
  <c r="S29" i="4"/>
  <c r="R29" i="4"/>
  <c r="Q29" i="4"/>
  <c r="P29" i="4"/>
  <c r="N29" i="4"/>
  <c r="M29" i="4"/>
  <c r="L29" i="4"/>
  <c r="K29" i="4"/>
  <c r="G27" i="4"/>
  <c r="G26" i="4" s="1"/>
  <c r="G25" i="4"/>
  <c r="G24" i="4"/>
  <c r="G23" i="4"/>
  <c r="R22" i="4"/>
  <c r="Q22" i="4"/>
  <c r="P22" i="4"/>
  <c r="N22" i="4"/>
  <c r="M22" i="4"/>
  <c r="L22" i="4"/>
  <c r="K22" i="4"/>
  <c r="M21" i="4"/>
  <c r="G21" i="4"/>
  <c r="G20" i="4"/>
  <c r="G19" i="4"/>
  <c r="G18" i="4"/>
  <c r="G17" i="4"/>
  <c r="G16" i="4"/>
  <c r="AH15" i="4"/>
  <c r="AG15" i="4"/>
  <c r="AF15" i="4"/>
  <c r="AE15" i="4"/>
  <c r="AC15" i="4"/>
  <c r="AB15" i="4"/>
  <c r="AA15" i="4"/>
  <c r="Z15" i="4"/>
  <c r="X15" i="4"/>
  <c r="W15" i="4"/>
  <c r="V15" i="4"/>
  <c r="U15" i="4"/>
  <c r="S15" i="4"/>
  <c r="R15" i="4"/>
  <c r="Q15" i="4"/>
  <c r="P15" i="4"/>
  <c r="N15" i="4"/>
  <c r="L15" i="4"/>
  <c r="K15" i="4"/>
  <c r="F15" i="4"/>
  <c r="E15" i="4"/>
  <c r="D15" i="4"/>
  <c r="J59" i="5"/>
  <c r="J57" i="5"/>
  <c r="F71" i="1" s="1"/>
  <c r="J55" i="5"/>
  <c r="F69" i="1" s="1"/>
  <c r="J53" i="5"/>
  <c r="G72" i="1"/>
  <c r="G68" i="1"/>
  <c r="K56" i="5"/>
  <c r="L56" i="5"/>
  <c r="M56" i="5"/>
  <c r="N56" i="5"/>
  <c r="O56" i="5"/>
  <c r="P56" i="5"/>
  <c r="Q56" i="5"/>
  <c r="R56" i="5"/>
  <c r="S56" i="5"/>
  <c r="U56" i="5"/>
  <c r="AC56" i="5"/>
  <c r="AE56" i="5"/>
  <c r="AF56" i="5"/>
  <c r="AG56" i="5"/>
  <c r="AH56" i="5"/>
  <c r="K52" i="5"/>
  <c r="L52" i="5"/>
  <c r="M52" i="5"/>
  <c r="N52" i="5"/>
  <c r="O52" i="5"/>
  <c r="P52" i="5"/>
  <c r="R52" i="5"/>
  <c r="S52" i="5"/>
  <c r="U52" i="5"/>
  <c r="V52" i="5"/>
  <c r="W52" i="5"/>
  <c r="X52" i="5"/>
  <c r="Z52" i="5"/>
  <c r="AA52" i="5"/>
  <c r="AB52" i="5"/>
  <c r="AC52" i="5"/>
  <c r="AE52" i="5"/>
  <c r="AF52" i="5"/>
  <c r="AG52" i="5"/>
  <c r="AH52" i="5"/>
  <c r="G51" i="5"/>
  <c r="Q73" i="1" l="1"/>
  <c r="I59" i="4"/>
  <c r="Q71" i="1"/>
  <c r="I57" i="4"/>
  <c r="AH69" i="1"/>
  <c r="I55" i="4"/>
  <c r="AH67" i="1"/>
  <c r="AH66" i="1" s="1"/>
  <c r="I53" i="4"/>
  <c r="H68" i="1"/>
  <c r="S68" i="1"/>
  <c r="H72" i="1"/>
  <c r="S72" i="1"/>
  <c r="H37" i="1"/>
  <c r="S37" i="1"/>
  <c r="M38" i="1"/>
  <c r="H38" i="1"/>
  <c r="S38" i="1"/>
  <c r="M39" i="1"/>
  <c r="H39" i="1"/>
  <c r="S39" i="1"/>
  <c r="M57" i="1"/>
  <c r="H57" i="1"/>
  <c r="S57" i="1"/>
  <c r="H58" i="1"/>
  <c r="S58" i="1"/>
  <c r="M59" i="1"/>
  <c r="H59" i="1"/>
  <c r="S59" i="1"/>
  <c r="H60" i="1"/>
  <c r="S60" i="1"/>
  <c r="H63" i="1"/>
  <c r="S63" i="1"/>
  <c r="V60" i="4"/>
  <c r="AJ40" i="1"/>
  <c r="R51" i="4"/>
  <c r="R50" i="4" s="1"/>
  <c r="J15" i="4"/>
  <c r="J14" i="4" s="1"/>
  <c r="J56" i="4"/>
  <c r="P51" i="5"/>
  <c r="N51" i="5"/>
  <c r="R73" i="1"/>
  <c r="Y73" i="1"/>
  <c r="AB73" i="1"/>
  <c r="AE73" i="1"/>
  <c r="AJ67" i="1"/>
  <c r="I53" i="5"/>
  <c r="AJ73" i="1"/>
  <c r="I59" i="5"/>
  <c r="G73" i="1" s="1"/>
  <c r="H73" i="1" s="1"/>
  <c r="R71" i="1"/>
  <c r="Y71" i="1"/>
  <c r="AE71" i="1"/>
  <c r="AB71" i="1"/>
  <c r="AH73" i="1"/>
  <c r="F67" i="1"/>
  <c r="F66" i="1" s="1"/>
  <c r="AH71" i="1"/>
  <c r="R69" i="1"/>
  <c r="Y69" i="1"/>
  <c r="AB69" i="1"/>
  <c r="AE69" i="1"/>
  <c r="AJ69" i="1"/>
  <c r="I55" i="5"/>
  <c r="G69" i="1" s="1"/>
  <c r="H69" i="1" s="1"/>
  <c r="AJ71" i="1"/>
  <c r="I57" i="5"/>
  <c r="R67" i="1"/>
  <c r="Y67" i="1"/>
  <c r="AB67" i="1"/>
  <c r="AE67" i="1"/>
  <c r="S51" i="5"/>
  <c r="S50" i="5" s="1"/>
  <c r="F73" i="1"/>
  <c r="F70" i="1" s="1"/>
  <c r="U51" i="5"/>
  <c r="U50" i="5" s="1"/>
  <c r="R51" i="5"/>
  <c r="R50" i="5" s="1"/>
  <c r="AK72" i="1"/>
  <c r="AL72" i="1" s="1"/>
  <c r="AK68" i="1"/>
  <c r="AL68" i="1" s="1"/>
  <c r="AK69" i="1"/>
  <c r="AK71" i="1"/>
  <c r="AK67" i="1"/>
  <c r="AK73" i="1"/>
  <c r="AD73" i="1"/>
  <c r="X73" i="1"/>
  <c r="AA73" i="1"/>
  <c r="AG73" i="1"/>
  <c r="AD71" i="1"/>
  <c r="AA71" i="1"/>
  <c r="X71" i="1"/>
  <c r="AG71" i="1"/>
  <c r="AD69" i="1"/>
  <c r="AA69" i="1"/>
  <c r="X69" i="1"/>
  <c r="AG69" i="1"/>
  <c r="AD67" i="1"/>
  <c r="AA67" i="1"/>
  <c r="X67" i="1"/>
  <c r="AG67" i="1"/>
  <c r="AH40" i="1"/>
  <c r="AK42" i="1"/>
  <c r="AL42" i="1" s="1"/>
  <c r="Z51" i="5"/>
  <c r="Z50" i="5" s="1"/>
  <c r="AB51" i="5"/>
  <c r="AB50" i="5" s="1"/>
  <c r="AG51" i="5"/>
  <c r="AG50" i="5" s="1"/>
  <c r="AH51" i="5"/>
  <c r="AH50" i="5" s="1"/>
  <c r="AA51" i="5"/>
  <c r="AA50" i="5" s="1"/>
  <c r="AC51" i="5"/>
  <c r="AC50" i="5" s="1"/>
  <c r="M51" i="5"/>
  <c r="M50" i="5" s="1"/>
  <c r="K51" i="4"/>
  <c r="K50" i="4" s="1"/>
  <c r="Q67" i="1"/>
  <c r="T65" i="4"/>
  <c r="M15" i="4"/>
  <c r="M14" i="4" s="1"/>
  <c r="M65" i="4" s="1"/>
  <c r="O21" i="4"/>
  <c r="I21" i="4" s="1"/>
  <c r="Q69" i="1"/>
  <c r="J52" i="4"/>
  <c r="J51" i="4" s="1"/>
  <c r="J50" i="4" s="1"/>
  <c r="AH36" i="1"/>
  <c r="AI41" i="1"/>
  <c r="AI40" i="1" s="1"/>
  <c r="M72" i="1"/>
  <c r="H32" i="1"/>
  <c r="M32" i="1"/>
  <c r="AI54" i="1"/>
  <c r="AI53" i="1" s="1"/>
  <c r="H31" i="1"/>
  <c r="M31" i="1"/>
  <c r="H33" i="1"/>
  <c r="M33" i="1"/>
  <c r="M37" i="1"/>
  <c r="M60" i="1"/>
  <c r="H34" i="1"/>
  <c r="M34" i="1"/>
  <c r="AB28" i="1"/>
  <c r="G62" i="1"/>
  <c r="M63" i="1"/>
  <c r="M62" i="1" s="1"/>
  <c r="M61" i="1" s="1"/>
  <c r="H30" i="1"/>
  <c r="M30" i="1"/>
  <c r="M68" i="1"/>
  <c r="M58" i="1"/>
  <c r="AI63" i="1"/>
  <c r="AI62" i="1" s="1"/>
  <c r="AI61" i="1" s="1"/>
  <c r="AF28" i="1"/>
  <c r="AI56" i="1"/>
  <c r="AI55" i="1" s="1"/>
  <c r="AI37" i="1"/>
  <c r="AI36" i="1" s="1"/>
  <c r="AJ62" i="1"/>
  <c r="AJ61" i="1" s="1"/>
  <c r="AJ56" i="1"/>
  <c r="AJ55" i="1" s="1"/>
  <c r="AJ43" i="1"/>
  <c r="AH43" i="1"/>
  <c r="AH29" i="1"/>
  <c r="AE28" i="1"/>
  <c r="AM40" i="1"/>
  <c r="AJ29" i="1"/>
  <c r="AK63" i="1"/>
  <c r="AK62" i="1" s="1"/>
  <c r="AK61" i="1" s="1"/>
  <c r="AK52" i="1"/>
  <c r="AL52" i="1" s="1"/>
  <c r="AK46" i="1"/>
  <c r="AL46" i="1" s="1"/>
  <c r="AK37" i="1"/>
  <c r="AL37" i="1" s="1"/>
  <c r="AK30" i="1"/>
  <c r="AL30" i="1" s="1"/>
  <c r="AK60" i="1"/>
  <c r="AL60" i="1" s="1"/>
  <c r="AK45" i="1"/>
  <c r="AL45" i="1" s="1"/>
  <c r="AK39" i="1"/>
  <c r="AL39" i="1" s="1"/>
  <c r="AK47" i="1"/>
  <c r="AL47" i="1" s="1"/>
  <c r="AK51" i="1"/>
  <c r="AL51" i="1" s="1"/>
  <c r="AK35" i="1"/>
  <c r="AL35" i="1" s="1"/>
  <c r="AK54" i="1"/>
  <c r="AK53" i="1" s="1"/>
  <c r="AK59" i="1"/>
  <c r="AL59" i="1" s="1"/>
  <c r="AK50" i="1"/>
  <c r="AL50" i="1" s="1"/>
  <c r="AK44" i="1"/>
  <c r="AK32" i="1"/>
  <c r="AL32" i="1" s="1"/>
  <c r="AK34" i="1"/>
  <c r="AL34" i="1" s="1"/>
  <c r="AK74" i="1"/>
  <c r="AK58" i="1"/>
  <c r="AL58" i="1" s="1"/>
  <c r="AK49" i="1"/>
  <c r="AL49" i="1" s="1"/>
  <c r="AK41" i="1"/>
  <c r="AK48" i="1"/>
  <c r="AL48" i="1" s="1"/>
  <c r="AK33" i="1"/>
  <c r="AL33" i="1" s="1"/>
  <c r="AK57" i="1"/>
  <c r="AL57" i="1" s="1"/>
  <c r="AK31" i="1"/>
  <c r="AL31" i="1" s="1"/>
  <c r="AK38" i="1"/>
  <c r="AL38" i="1" s="1"/>
  <c r="AJ36" i="1"/>
  <c r="AH56" i="1"/>
  <c r="AH55" i="1" s="1"/>
  <c r="AC28" i="1"/>
  <c r="AI30" i="1"/>
  <c r="AI29" i="1" s="1"/>
  <c r="AG28" i="1"/>
  <c r="AJ53" i="1"/>
  <c r="AI44" i="1"/>
  <c r="AI43" i="1" s="1"/>
  <c r="AF51" i="5"/>
  <c r="AF50" i="5" s="1"/>
  <c r="L51" i="5"/>
  <c r="L50" i="5" s="1"/>
  <c r="AE51" i="5"/>
  <c r="AE50" i="5" s="1"/>
  <c r="K51" i="5"/>
  <c r="K50" i="5" s="1"/>
  <c r="X51" i="5"/>
  <c r="X50" i="5" s="1"/>
  <c r="W51" i="5"/>
  <c r="W50" i="5" s="1"/>
  <c r="O51" i="5"/>
  <c r="O50" i="5" s="1"/>
  <c r="G56" i="1"/>
  <c r="V60" i="1"/>
  <c r="AN16" i="1"/>
  <c r="V45" i="1"/>
  <c r="V30" i="1"/>
  <c r="V49" i="1"/>
  <c r="V36" i="1"/>
  <c r="V44" i="1"/>
  <c r="V59" i="1"/>
  <c r="V33" i="1"/>
  <c r="F36" i="1"/>
  <c r="P66" i="1"/>
  <c r="E66" i="1"/>
  <c r="E36" i="1"/>
  <c r="F43" i="1"/>
  <c r="E70" i="1"/>
  <c r="F56" i="1"/>
  <c r="F55" i="1" s="1"/>
  <c r="E29" i="1"/>
  <c r="G36" i="1"/>
  <c r="H36" i="1" s="1"/>
  <c r="E56" i="1"/>
  <c r="E55" i="1" s="1"/>
  <c r="E43" i="1"/>
  <c r="D65" i="1"/>
  <c r="D64" i="1" s="1"/>
  <c r="D80" i="1" s="1"/>
  <c r="U51" i="4"/>
  <c r="U50" i="4" s="1"/>
  <c r="AG51" i="4"/>
  <c r="AG50" i="4" s="1"/>
  <c r="V51" i="4"/>
  <c r="V50" i="4" s="1"/>
  <c r="AH51" i="4"/>
  <c r="AH50" i="4" s="1"/>
  <c r="W51" i="4"/>
  <c r="W50" i="4" s="1"/>
  <c r="G15" i="4"/>
  <c r="N14" i="4"/>
  <c r="N65" i="4" s="1"/>
  <c r="P14" i="4"/>
  <c r="P65" i="4" s="1"/>
  <c r="Z14" i="4"/>
  <c r="AA14" i="4"/>
  <c r="AB14" i="4"/>
  <c r="Q14" i="4"/>
  <c r="Q65" i="4" s="1"/>
  <c r="AC14" i="4"/>
  <c r="R14" i="4"/>
  <c r="R65" i="4" s="1"/>
  <c r="L51" i="4"/>
  <c r="L50" i="4" s="1"/>
  <c r="AF14" i="4"/>
  <c r="S51" i="4"/>
  <c r="S50" i="4" s="1"/>
  <c r="AE51" i="4"/>
  <c r="AE50" i="4" s="1"/>
  <c r="AA51" i="4"/>
  <c r="AA50" i="4" s="1"/>
  <c r="M51" i="4"/>
  <c r="M50" i="4" s="1"/>
  <c r="P51" i="4"/>
  <c r="P50" i="4" s="1"/>
  <c r="G22" i="4"/>
  <c r="AE14" i="4"/>
  <c r="U14" i="4"/>
  <c r="U65" i="4" s="1"/>
  <c r="AB51" i="4"/>
  <c r="AB50" i="4" s="1"/>
  <c r="V14" i="4"/>
  <c r="AH14" i="4"/>
  <c r="Q51" i="4"/>
  <c r="Q50" i="4" s="1"/>
  <c r="AC51" i="4"/>
  <c r="AC50" i="4" s="1"/>
  <c r="S14" i="4"/>
  <c r="S65" i="4" s="1"/>
  <c r="Z51" i="4"/>
  <c r="Z50" i="4" s="1"/>
  <c r="AG14" i="4"/>
  <c r="AF51" i="4"/>
  <c r="AF50" i="4" s="1"/>
  <c r="K14" i="4"/>
  <c r="K65" i="4" s="1"/>
  <c r="W14" i="4"/>
  <c r="X51" i="4"/>
  <c r="X50" i="4" s="1"/>
  <c r="N51" i="4"/>
  <c r="N50" i="4" s="1"/>
  <c r="L14" i="4"/>
  <c r="X14" i="4"/>
  <c r="G29" i="4"/>
  <c r="V51" i="5"/>
  <c r="V50" i="5" s="1"/>
  <c r="J56" i="5"/>
  <c r="J52" i="5"/>
  <c r="Q52" i="5"/>
  <c r="Q51" i="5" s="1"/>
  <c r="Q50" i="5" s="1"/>
  <c r="J21" i="5"/>
  <c r="F35" i="1" s="1"/>
  <c r="F29" i="1" s="1"/>
  <c r="M21" i="5"/>
  <c r="D15" i="5"/>
  <c r="E15" i="5"/>
  <c r="F15" i="5"/>
  <c r="K15" i="5"/>
  <c r="L15" i="5"/>
  <c r="N15" i="5"/>
  <c r="P15" i="5"/>
  <c r="Q15" i="5"/>
  <c r="R15" i="5"/>
  <c r="S15" i="5"/>
  <c r="U15" i="5"/>
  <c r="V15" i="5"/>
  <c r="W15" i="5"/>
  <c r="X15" i="5"/>
  <c r="Z15" i="5"/>
  <c r="AA15" i="5"/>
  <c r="AB15" i="5"/>
  <c r="AC15" i="5"/>
  <c r="AE15" i="5"/>
  <c r="AF15" i="5"/>
  <c r="AG15" i="5"/>
  <c r="AH15" i="5"/>
  <c r="P50" i="5"/>
  <c r="N50" i="5"/>
  <c r="G50" i="5"/>
  <c r="N60" i="5"/>
  <c r="M60" i="5"/>
  <c r="K60" i="5"/>
  <c r="AH48" i="5"/>
  <c r="AH47" i="5" s="1"/>
  <c r="AG48" i="5"/>
  <c r="AG47" i="5" s="1"/>
  <c r="AF48" i="5"/>
  <c r="AF47" i="5" s="1"/>
  <c r="AE48" i="5"/>
  <c r="AE47" i="5" s="1"/>
  <c r="AC48" i="5"/>
  <c r="AC47" i="5" s="1"/>
  <c r="AB48" i="5"/>
  <c r="AB47" i="5" s="1"/>
  <c r="AA48" i="5"/>
  <c r="AA47" i="5" s="1"/>
  <c r="Z48" i="5"/>
  <c r="Z47" i="5" s="1"/>
  <c r="X48" i="5"/>
  <c r="X47" i="5" s="1"/>
  <c r="W48" i="5"/>
  <c r="W47" i="5" s="1"/>
  <c r="V48" i="5"/>
  <c r="V47" i="5" s="1"/>
  <c r="U48" i="5"/>
  <c r="U47" i="5" s="1"/>
  <c r="S48" i="5"/>
  <c r="S47" i="5" s="1"/>
  <c r="R48" i="5"/>
  <c r="R47" i="5" s="1"/>
  <c r="Q48" i="5"/>
  <c r="Q47" i="5" s="1"/>
  <c r="P48" i="5"/>
  <c r="P47" i="5" s="1"/>
  <c r="O48" i="5"/>
  <c r="O47" i="5" s="1"/>
  <c r="N48" i="5"/>
  <c r="N47" i="5" s="1"/>
  <c r="M48" i="5"/>
  <c r="M47" i="5" s="1"/>
  <c r="L48" i="5"/>
  <c r="L47" i="5" s="1"/>
  <c r="K48" i="5"/>
  <c r="K47" i="5" s="1"/>
  <c r="J48" i="5"/>
  <c r="J47" i="5" s="1"/>
  <c r="I48" i="5"/>
  <c r="I47" i="5" s="1"/>
  <c r="G48" i="5"/>
  <c r="G47" i="5" s="1"/>
  <c r="AH42" i="5"/>
  <c r="AH41" i="5" s="1"/>
  <c r="AG42" i="5"/>
  <c r="AG41" i="5" s="1"/>
  <c r="AF42" i="5"/>
  <c r="AF41" i="5" s="1"/>
  <c r="AE42" i="5"/>
  <c r="AE41" i="5" s="1"/>
  <c r="AC42" i="5"/>
  <c r="AC41" i="5" s="1"/>
  <c r="AB42" i="5"/>
  <c r="AB41" i="5" s="1"/>
  <c r="AA42" i="5"/>
  <c r="AA41" i="5" s="1"/>
  <c r="Z42" i="5"/>
  <c r="Z41" i="5" s="1"/>
  <c r="X42" i="5"/>
  <c r="X41" i="5" s="1"/>
  <c r="W42" i="5"/>
  <c r="W41" i="5" s="1"/>
  <c r="V42" i="5"/>
  <c r="V41" i="5" s="1"/>
  <c r="U42" i="5"/>
  <c r="U41" i="5" s="1"/>
  <c r="S42" i="5"/>
  <c r="S41" i="5" s="1"/>
  <c r="R42" i="5"/>
  <c r="R41" i="5" s="1"/>
  <c r="Q42" i="5"/>
  <c r="Q41" i="5" s="1"/>
  <c r="P42" i="5"/>
  <c r="P41" i="5" s="1"/>
  <c r="O42" i="5"/>
  <c r="O41" i="5" s="1"/>
  <c r="N42" i="5"/>
  <c r="N41" i="5" s="1"/>
  <c r="M42" i="5"/>
  <c r="M41" i="5" s="1"/>
  <c r="L42" i="5"/>
  <c r="L41" i="5" s="1"/>
  <c r="K42" i="5"/>
  <c r="K41" i="5" s="1"/>
  <c r="J42" i="5"/>
  <c r="J41" i="5" s="1"/>
  <c r="I42" i="5"/>
  <c r="I41" i="5" s="1"/>
  <c r="G42" i="5"/>
  <c r="G41" i="5" s="1"/>
  <c r="AH29" i="5"/>
  <c r="AG29" i="5"/>
  <c r="AF29" i="5"/>
  <c r="AE29" i="5"/>
  <c r="AC29" i="5"/>
  <c r="AB29" i="5"/>
  <c r="AA29" i="5"/>
  <c r="Z29" i="5"/>
  <c r="X29" i="5"/>
  <c r="W29" i="5"/>
  <c r="V29" i="5"/>
  <c r="U29" i="5"/>
  <c r="S29" i="5"/>
  <c r="R29" i="5"/>
  <c r="Q29" i="5"/>
  <c r="P29" i="5"/>
  <c r="O29" i="5"/>
  <c r="N29" i="5"/>
  <c r="M29" i="5"/>
  <c r="L29" i="5"/>
  <c r="K29" i="5"/>
  <c r="J29" i="5"/>
  <c r="AH22" i="5"/>
  <c r="AG22" i="5"/>
  <c r="AF22" i="5"/>
  <c r="AE22" i="5"/>
  <c r="AC22" i="5"/>
  <c r="AB22" i="5"/>
  <c r="AA22" i="5"/>
  <c r="Z22" i="5"/>
  <c r="X22" i="5"/>
  <c r="W22" i="5"/>
  <c r="V22" i="5"/>
  <c r="U22" i="5"/>
  <c r="S22" i="5"/>
  <c r="R22" i="5"/>
  <c r="Q22" i="5"/>
  <c r="P22" i="5"/>
  <c r="O22" i="5"/>
  <c r="N22" i="5"/>
  <c r="M22" i="5"/>
  <c r="L22" i="5"/>
  <c r="K22" i="5"/>
  <c r="J22" i="5"/>
  <c r="I22" i="5"/>
  <c r="AH39" i="5"/>
  <c r="AG39" i="5"/>
  <c r="AF39" i="5"/>
  <c r="AE39" i="5"/>
  <c r="AC39" i="5"/>
  <c r="AB39" i="5"/>
  <c r="AA39" i="5"/>
  <c r="Z39" i="5"/>
  <c r="X39" i="5"/>
  <c r="W39" i="5"/>
  <c r="V39" i="5"/>
  <c r="U39" i="5"/>
  <c r="S39" i="5"/>
  <c r="R39" i="5"/>
  <c r="Q39" i="5"/>
  <c r="P39" i="5"/>
  <c r="O39" i="5"/>
  <c r="N39" i="5"/>
  <c r="M39" i="5"/>
  <c r="L39" i="5"/>
  <c r="K39" i="5"/>
  <c r="J39" i="5"/>
  <c r="G46" i="1"/>
  <c r="G47" i="1"/>
  <c r="G48" i="1"/>
  <c r="G49" i="1"/>
  <c r="G50" i="1"/>
  <c r="G51" i="1"/>
  <c r="G52" i="1"/>
  <c r="G45" i="1"/>
  <c r="G44" i="1"/>
  <c r="AI69" i="1" l="1"/>
  <c r="M36" i="1"/>
  <c r="H44" i="1"/>
  <c r="S44" i="1"/>
  <c r="H45" i="1"/>
  <c r="S45" i="1"/>
  <c r="H52" i="1"/>
  <c r="S52" i="1"/>
  <c r="H51" i="1"/>
  <c r="S51" i="1"/>
  <c r="H50" i="1"/>
  <c r="S50" i="1"/>
  <c r="H49" i="1"/>
  <c r="S49" i="1"/>
  <c r="H48" i="1"/>
  <c r="S48" i="1"/>
  <c r="H47" i="1"/>
  <c r="S47" i="1"/>
  <c r="H46" i="1"/>
  <c r="S46" i="1"/>
  <c r="G55" i="1"/>
  <c r="H55" i="1" s="1"/>
  <c r="H56" i="1"/>
  <c r="G61" i="1"/>
  <c r="H61" i="1" s="1"/>
  <c r="H62" i="1"/>
  <c r="V67" i="1"/>
  <c r="V69" i="1"/>
  <c r="V66" i="1" s="1"/>
  <c r="S69" i="1"/>
  <c r="V71" i="1"/>
  <c r="V73" i="1"/>
  <c r="S73" i="1"/>
  <c r="W60" i="4"/>
  <c r="V65" i="4"/>
  <c r="Z73" i="1"/>
  <c r="AJ70" i="1"/>
  <c r="AL71" i="1"/>
  <c r="AB70" i="1"/>
  <c r="I56" i="4"/>
  <c r="AC73" i="1"/>
  <c r="AE70" i="1"/>
  <c r="AI73" i="1"/>
  <c r="AF73" i="1"/>
  <c r="AL67" i="1"/>
  <c r="AH70" i="1"/>
  <c r="AH65" i="1" s="1"/>
  <c r="AH64" i="1" s="1"/>
  <c r="AJ66" i="1"/>
  <c r="AL73" i="1"/>
  <c r="Y70" i="1"/>
  <c r="AE66" i="1"/>
  <c r="Z69" i="1"/>
  <c r="AB66" i="1"/>
  <c r="AC69" i="1"/>
  <c r="Y66" i="1"/>
  <c r="AF69" i="1"/>
  <c r="AL69" i="1"/>
  <c r="I52" i="4"/>
  <c r="G67" i="1"/>
  <c r="I52" i="5"/>
  <c r="G71" i="1"/>
  <c r="I56" i="5"/>
  <c r="M73" i="1"/>
  <c r="AG70" i="1"/>
  <c r="AI71" i="1"/>
  <c r="M69" i="1"/>
  <c r="AG66" i="1"/>
  <c r="AI67" i="1"/>
  <c r="AD70" i="1"/>
  <c r="AF71" i="1"/>
  <c r="AA70" i="1"/>
  <c r="AC71" i="1"/>
  <c r="Z71" i="1"/>
  <c r="X70" i="1"/>
  <c r="AD66" i="1"/>
  <c r="AF67" i="1"/>
  <c r="AC67" i="1"/>
  <c r="AA66" i="1"/>
  <c r="Z67" i="1"/>
  <c r="X66" i="1"/>
  <c r="AN66" i="1"/>
  <c r="AN70" i="1"/>
  <c r="AK40" i="1"/>
  <c r="G14" i="4"/>
  <c r="G65" i="4" s="1"/>
  <c r="M15" i="5"/>
  <c r="O21" i="5"/>
  <c r="R35" i="1"/>
  <c r="O15" i="4"/>
  <c r="O14" i="4" s="1"/>
  <c r="O65" i="4" s="1"/>
  <c r="Y35" i="1"/>
  <c r="M56" i="1"/>
  <c r="M55" i="1" s="1"/>
  <c r="M48" i="1"/>
  <c r="M46" i="1"/>
  <c r="M44" i="1"/>
  <c r="M47" i="1"/>
  <c r="M45" i="1"/>
  <c r="M52" i="1"/>
  <c r="M51" i="1"/>
  <c r="M50" i="1"/>
  <c r="M49" i="1"/>
  <c r="AH28" i="1"/>
  <c r="AL56" i="1"/>
  <c r="AL55" i="1" s="1"/>
  <c r="AL54" i="1"/>
  <c r="AL53" i="1" s="1"/>
  <c r="AM56" i="1"/>
  <c r="AM55" i="1" s="1"/>
  <c r="AL36" i="1"/>
  <c r="AL29" i="1"/>
  <c r="AM62" i="1"/>
  <c r="AM61" i="1" s="1"/>
  <c r="AM70" i="1"/>
  <c r="AM29" i="1"/>
  <c r="AK43" i="1"/>
  <c r="AK29" i="1"/>
  <c r="AM53" i="1"/>
  <c r="AN56" i="1"/>
  <c r="AN55" i="1" s="1"/>
  <c r="AN40" i="1"/>
  <c r="AN53" i="1"/>
  <c r="AN74" i="1"/>
  <c r="AN62" i="1"/>
  <c r="AN61" i="1" s="1"/>
  <c r="AN36" i="1"/>
  <c r="AN29" i="1"/>
  <c r="AN43" i="1"/>
  <c r="AJ28" i="1"/>
  <c r="AI28" i="1"/>
  <c r="AK66" i="1"/>
  <c r="AK70" i="1"/>
  <c r="AM43" i="1"/>
  <c r="AM66" i="1"/>
  <c r="AL44" i="1"/>
  <c r="AL43" i="1" s="1"/>
  <c r="AK56" i="1"/>
  <c r="AK55" i="1" s="1"/>
  <c r="AK36" i="1"/>
  <c r="AM36" i="1"/>
  <c r="AL63" i="1"/>
  <c r="AL62" i="1" s="1"/>
  <c r="AL61" i="1" s="1"/>
  <c r="AL41" i="1"/>
  <c r="AL40" i="1" s="1"/>
  <c r="F65" i="1"/>
  <c r="F64" i="1" s="1"/>
  <c r="I39" i="5"/>
  <c r="G54" i="1"/>
  <c r="J51" i="5"/>
  <c r="J50" i="5" s="1"/>
  <c r="G43" i="1"/>
  <c r="H43" i="1" s="1"/>
  <c r="V56" i="1"/>
  <c r="V55" i="1" s="1"/>
  <c r="V43" i="1"/>
  <c r="D81" i="1"/>
  <c r="Q70" i="1"/>
  <c r="F28" i="1"/>
  <c r="P70" i="1"/>
  <c r="P65" i="1" s="1"/>
  <c r="P64" i="1" s="1"/>
  <c r="P29" i="1"/>
  <c r="P36" i="1"/>
  <c r="R66" i="1"/>
  <c r="P56" i="1"/>
  <c r="P55" i="1" s="1"/>
  <c r="R70" i="1"/>
  <c r="E28" i="1"/>
  <c r="E65" i="1"/>
  <c r="E64" i="1" s="1"/>
  <c r="L65" i="4"/>
  <c r="J15" i="5"/>
  <c r="J14" i="5" s="1"/>
  <c r="AG14" i="5"/>
  <c r="AC14" i="5"/>
  <c r="AH14" i="5"/>
  <c r="AF14" i="5"/>
  <c r="AE14" i="5"/>
  <c r="X14" i="5"/>
  <c r="AA14" i="5"/>
  <c r="I29" i="5"/>
  <c r="V14" i="5"/>
  <c r="S14" i="5"/>
  <c r="L14" i="5"/>
  <c r="AB14" i="5"/>
  <c r="Q14" i="5"/>
  <c r="Z14" i="5"/>
  <c r="N14" i="5"/>
  <c r="W14" i="5"/>
  <c r="U14" i="5"/>
  <c r="P14" i="5"/>
  <c r="R14" i="5"/>
  <c r="C79" i="5"/>
  <c r="C80" i="5" s="1"/>
  <c r="C78" i="5"/>
  <c r="C77" i="5"/>
  <c r="F66" i="5"/>
  <c r="G40" i="5"/>
  <c r="G39" i="5" s="1"/>
  <c r="F39" i="5"/>
  <c r="E39" i="5"/>
  <c r="D39" i="5"/>
  <c r="G38" i="5"/>
  <c r="G37" i="5"/>
  <c r="G36" i="5"/>
  <c r="G35" i="5"/>
  <c r="G34" i="5"/>
  <c r="G33" i="5"/>
  <c r="G32" i="5"/>
  <c r="G31" i="5"/>
  <c r="G30" i="5"/>
  <c r="G27" i="5"/>
  <c r="G26" i="5" s="1"/>
  <c r="G25" i="5"/>
  <c r="G24" i="5"/>
  <c r="G23" i="5"/>
  <c r="G21" i="5"/>
  <c r="G20" i="5"/>
  <c r="G19" i="5"/>
  <c r="G18" i="5"/>
  <c r="G17" i="5"/>
  <c r="G16" i="5"/>
  <c r="AI66" i="1" l="1"/>
  <c r="M54" i="1"/>
  <c r="M53" i="1" s="1"/>
  <c r="H54" i="1"/>
  <c r="S54" i="1"/>
  <c r="H71" i="1"/>
  <c r="S71" i="1"/>
  <c r="H67" i="1"/>
  <c r="S67" i="1"/>
  <c r="AL70" i="1"/>
  <c r="V70" i="1"/>
  <c r="V65" i="1" s="1"/>
  <c r="V64" i="1" s="1"/>
  <c r="AB65" i="1"/>
  <c r="AB64" i="1" s="1"/>
  <c r="AB80" i="1" s="1"/>
  <c r="AB90" i="1" s="1"/>
  <c r="AM28" i="1"/>
  <c r="AN28" i="1"/>
  <c r="X60" i="4"/>
  <c r="W65" i="4"/>
  <c r="AE65" i="1"/>
  <c r="AE64" i="1" s="1"/>
  <c r="AE80" i="1" s="1"/>
  <c r="AE90" i="1" s="1"/>
  <c r="AJ65" i="1"/>
  <c r="AJ64" i="1" s="1"/>
  <c r="Z70" i="1"/>
  <c r="I51" i="4"/>
  <c r="I50" i="4" s="1"/>
  <c r="AC70" i="1"/>
  <c r="AL66" i="1"/>
  <c r="AF70" i="1"/>
  <c r="AI70" i="1"/>
  <c r="Y65" i="1"/>
  <c r="Y64" i="1" s="1"/>
  <c r="AC66" i="1"/>
  <c r="AF66" i="1"/>
  <c r="AD65" i="1"/>
  <c r="AD64" i="1" s="1"/>
  <c r="Z66" i="1"/>
  <c r="AA65" i="1"/>
  <c r="AA64" i="1" s="1"/>
  <c r="I51" i="5"/>
  <c r="I50" i="5" s="1"/>
  <c r="G66" i="1"/>
  <c r="M67" i="1"/>
  <c r="M66" i="1" s="1"/>
  <c r="AG65" i="1"/>
  <c r="AG64" i="1" s="1"/>
  <c r="G70" i="1"/>
  <c r="M71" i="1"/>
  <c r="M70" i="1" s="1"/>
  <c r="X65" i="1"/>
  <c r="X64" i="1" s="1"/>
  <c r="M14" i="5"/>
  <c r="O15" i="5"/>
  <c r="X35" i="1"/>
  <c r="F75" i="1"/>
  <c r="F74" i="1" s="1"/>
  <c r="Y29" i="1"/>
  <c r="Y28" i="1" s="1"/>
  <c r="I15" i="4"/>
  <c r="I14" i="4" s="1"/>
  <c r="R29" i="1"/>
  <c r="AO53" i="1"/>
  <c r="AO66" i="1"/>
  <c r="AO40" i="1"/>
  <c r="M43" i="1"/>
  <c r="AL28" i="1"/>
  <c r="AM65" i="1"/>
  <c r="AM64" i="1" s="1"/>
  <c r="AK28" i="1"/>
  <c r="AO70" i="1"/>
  <c r="AO62" i="1"/>
  <c r="AO61" i="1" s="1"/>
  <c r="AO43" i="1"/>
  <c r="AN65" i="1"/>
  <c r="AN64" i="1" s="1"/>
  <c r="AO56" i="1"/>
  <c r="AO55" i="1" s="1"/>
  <c r="AO36" i="1"/>
  <c r="AK65" i="1"/>
  <c r="AK64" i="1" s="1"/>
  <c r="AO30" i="1"/>
  <c r="AO29" i="1" s="1"/>
  <c r="AH80" i="1"/>
  <c r="AH90" i="1" s="1"/>
  <c r="G53" i="1"/>
  <c r="H53" i="1" s="1"/>
  <c r="Q29" i="1"/>
  <c r="R65" i="1"/>
  <c r="P62" i="1"/>
  <c r="P61" i="1" s="1"/>
  <c r="Q66" i="1"/>
  <c r="Q65" i="1" s="1"/>
  <c r="Q64" i="1" s="1"/>
  <c r="R56" i="1"/>
  <c r="Q56" i="1"/>
  <c r="Q55" i="1" s="1"/>
  <c r="P43" i="1"/>
  <c r="P53" i="1"/>
  <c r="P75" i="1"/>
  <c r="P74" i="1" s="1"/>
  <c r="Q36" i="1"/>
  <c r="R36" i="1"/>
  <c r="S36" i="1" s="1"/>
  <c r="Q43" i="1"/>
  <c r="R43" i="1"/>
  <c r="S43" i="1" s="1"/>
  <c r="G22" i="5"/>
  <c r="G77" i="5"/>
  <c r="G61" i="5"/>
  <c r="G60" i="5" s="1"/>
  <c r="G15" i="5"/>
  <c r="G29" i="5"/>
  <c r="C81" i="5"/>
  <c r="E81" i="5" s="1"/>
  <c r="AI65" i="1" l="1"/>
  <c r="AI64" i="1" s="1"/>
  <c r="AL65" i="1"/>
  <c r="AL64" i="1" s="1"/>
  <c r="H70" i="1"/>
  <c r="S70" i="1"/>
  <c r="H66" i="1"/>
  <c r="S66" i="1"/>
  <c r="R55" i="1"/>
  <c r="S55" i="1" s="1"/>
  <c r="S56" i="1"/>
  <c r="R64" i="1"/>
  <c r="AB91" i="1"/>
  <c r="AO28" i="1"/>
  <c r="AE91" i="1"/>
  <c r="AH91" i="1"/>
  <c r="AN80" i="1"/>
  <c r="AN90" i="1" s="1"/>
  <c r="AC65" i="1"/>
  <c r="AC64" i="1" s="1"/>
  <c r="Y60" i="4"/>
  <c r="X65" i="4"/>
  <c r="I65" i="4"/>
  <c r="Z65" i="1"/>
  <c r="Z64" i="1" s="1"/>
  <c r="M65" i="1"/>
  <c r="M64" i="1" s="1"/>
  <c r="G65" i="1"/>
  <c r="AF65" i="1"/>
  <c r="AF64" i="1" s="1"/>
  <c r="AO65" i="1"/>
  <c r="AO64" i="1" s="1"/>
  <c r="Z77" i="1"/>
  <c r="X29" i="1"/>
  <c r="Z35" i="1"/>
  <c r="Z29" i="1" s="1"/>
  <c r="I15" i="5"/>
  <c r="G35" i="1"/>
  <c r="S35" i="1" s="1"/>
  <c r="AJ74" i="1"/>
  <c r="AJ80" i="1" s="1"/>
  <c r="AJ90" i="1" s="1"/>
  <c r="AJ91" i="1" s="1"/>
  <c r="AG74" i="1"/>
  <c r="AG80" i="1" s="1"/>
  <c r="AG90" i="1" s="1"/>
  <c r="AM74" i="1"/>
  <c r="AM80" i="1" s="1"/>
  <c r="AM90" i="1" s="1"/>
  <c r="AM91" i="1" s="1"/>
  <c r="AO74" i="1"/>
  <c r="V35" i="1"/>
  <c r="V29" i="1" s="1"/>
  <c r="V28" i="1" s="1"/>
  <c r="AK80" i="1"/>
  <c r="AK90" i="1" s="1"/>
  <c r="Q62" i="1"/>
  <c r="Q61" i="1" s="1"/>
  <c r="R62" i="1"/>
  <c r="P28" i="1"/>
  <c r="Q53" i="1"/>
  <c r="R53" i="1"/>
  <c r="S53" i="1" s="1"/>
  <c r="Q74" i="1"/>
  <c r="R74" i="1"/>
  <c r="X66" i="5"/>
  <c r="W66" i="5"/>
  <c r="U66" i="5"/>
  <c r="S66" i="5"/>
  <c r="N66" i="5"/>
  <c r="AB66" i="5"/>
  <c r="Q66" i="5"/>
  <c r="M66" i="5"/>
  <c r="AA66" i="5"/>
  <c r="Z66" i="5"/>
  <c r="R66" i="5"/>
  <c r="V66" i="5"/>
  <c r="J60" i="5"/>
  <c r="U106" i="5"/>
  <c r="S106" i="5"/>
  <c r="P106" i="5"/>
  <c r="L106" i="5"/>
  <c r="J106" i="5"/>
  <c r="AB106" i="5"/>
  <c r="W106" i="5"/>
  <c r="Z106" i="5" s="1"/>
  <c r="G14" i="5"/>
  <c r="G66" i="5" s="1"/>
  <c r="G64" i="1" l="1"/>
  <c r="H65" i="1"/>
  <c r="S65" i="1"/>
  <c r="R61" i="1"/>
  <c r="S62" i="1"/>
  <c r="AG91" i="1"/>
  <c r="AI91" i="1" s="1"/>
  <c r="AI90" i="1"/>
  <c r="AN91" i="1"/>
  <c r="AO91" i="1" s="1"/>
  <c r="AO90" i="1"/>
  <c r="AK91" i="1"/>
  <c r="AL91" i="1" s="1"/>
  <c r="AL90" i="1"/>
  <c r="Z60" i="4"/>
  <c r="Y65" i="4"/>
  <c r="AI74" i="1"/>
  <c r="AI80" i="1" s="1"/>
  <c r="AL74" i="1"/>
  <c r="AL80" i="1" s="1"/>
  <c r="AO80" i="1"/>
  <c r="H35" i="1"/>
  <c r="G29" i="1"/>
  <c r="M35" i="1"/>
  <c r="M29" i="1" s="1"/>
  <c r="L60" i="5"/>
  <c r="L66" i="5" s="1"/>
  <c r="R28" i="1"/>
  <c r="Q28" i="1"/>
  <c r="H64" i="1" l="1"/>
  <c r="S64" i="1"/>
  <c r="H29" i="1"/>
  <c r="S29" i="1"/>
  <c r="S61" i="1"/>
  <c r="R80" i="1"/>
  <c r="Z65" i="4"/>
  <c r="AA60" i="4"/>
  <c r="Y74" i="1"/>
  <c r="Y80" i="1" s="1"/>
  <c r="Y90" i="1" s="1"/>
  <c r="O60" i="5"/>
  <c r="T60" i="5"/>
  <c r="D93" i="1"/>
  <c r="B7" i="1"/>
  <c r="AB60" i="4" l="1"/>
  <c r="AA65" i="4"/>
  <c r="Y91" i="1"/>
  <c r="V90" i="1"/>
  <c r="C21" i="9" s="1"/>
  <c r="P60" i="5"/>
  <c r="P66" i="5" s="1"/>
  <c r="Z76" i="1"/>
  <c r="Z75" i="1" s="1"/>
  <c r="Z74" i="1" s="1"/>
  <c r="X74" i="1"/>
  <c r="F21" i="9" l="1"/>
  <c r="G21" i="9" s="1"/>
  <c r="C25" i="9"/>
  <c r="AC60" i="4"/>
  <c r="AB65" i="4"/>
  <c r="Y92" i="1"/>
  <c r="V91" i="1"/>
  <c r="U28" i="1"/>
  <c r="AB92" i="1" l="1"/>
  <c r="AC65" i="4"/>
  <c r="AD60" i="4"/>
  <c r="E93" i="1"/>
  <c r="AE92" i="1" l="1"/>
  <c r="AE60" i="4"/>
  <c r="AD65" i="4"/>
  <c r="AA74" i="1"/>
  <c r="AA80" i="1" s="1"/>
  <c r="AA90" i="1" s="1"/>
  <c r="AC74" i="1"/>
  <c r="AC80" i="1" s="1"/>
  <c r="T66" i="5"/>
  <c r="AA91" i="1" l="1"/>
  <c r="AC91" i="1" s="1"/>
  <c r="AC90" i="1"/>
  <c r="AH92" i="1"/>
  <c r="AE65" i="4"/>
  <c r="AF60" i="4"/>
  <c r="Y60" i="5"/>
  <c r="Y66" i="5" s="1"/>
  <c r="AK92" i="1" l="1"/>
  <c r="AF65" i="4"/>
  <c r="AG60" i="4"/>
  <c r="AD74" i="1"/>
  <c r="AD80" i="1" s="1"/>
  <c r="AD90" i="1" s="1"/>
  <c r="I60" i="5"/>
  <c r="AD91" i="1" l="1"/>
  <c r="AF91" i="1" s="1"/>
  <c r="AF90" i="1"/>
  <c r="AN92" i="1"/>
  <c r="AG65" i="4"/>
  <c r="AH60" i="4"/>
  <c r="AF74" i="1"/>
  <c r="AF80" i="1" s="1"/>
  <c r="M76" i="1"/>
  <c r="M75" i="1" s="1"/>
  <c r="M74" i="1" s="1"/>
  <c r="G74" i="1"/>
  <c r="H74" i="1" l="1"/>
  <c r="S74" i="1"/>
  <c r="V92" i="1"/>
  <c r="AH65" i="4"/>
  <c r="AI60" i="4"/>
  <c r="O27" i="5"/>
  <c r="X41" i="1"/>
  <c r="K14" i="5"/>
  <c r="K66" i="5" s="1"/>
  <c r="AI65" i="4" l="1"/>
  <c r="AJ60" i="4"/>
  <c r="O26" i="5"/>
  <c r="O14" i="5" s="1"/>
  <c r="O66" i="5" s="1"/>
  <c r="I26" i="5"/>
  <c r="I14" i="5" s="1"/>
  <c r="I66" i="5" s="1"/>
  <c r="C17" i="9" s="1"/>
  <c r="G41" i="1"/>
  <c r="Z41" i="1"/>
  <c r="Z40" i="1" s="1"/>
  <c r="Z28" i="1" s="1"/>
  <c r="Z80" i="1" s="1"/>
  <c r="X40" i="1"/>
  <c r="X28" i="1" s="1"/>
  <c r="X80" i="1" s="1"/>
  <c r="X90" i="1" s="1"/>
  <c r="Z90" i="1" s="1"/>
  <c r="H41" i="1" l="1"/>
  <c r="G40" i="1"/>
  <c r="G28" i="1" s="1"/>
  <c r="S41" i="1"/>
  <c r="AJ65" i="4"/>
  <c r="AK60" i="4"/>
  <c r="C28" i="9"/>
  <c r="M41" i="1"/>
  <c r="M40" i="1" s="1"/>
  <c r="M28" i="1" s="1"/>
  <c r="X91" i="1"/>
  <c r="Z91" i="1" s="1"/>
  <c r="G80" i="1" l="1"/>
  <c r="H28" i="1"/>
  <c r="H80" i="1" s="1"/>
  <c r="S28" i="1"/>
  <c r="S80" i="1" s="1"/>
  <c r="H40" i="1"/>
  <c r="S40" i="1"/>
  <c r="AK65" i="4"/>
  <c r="AL60" i="4"/>
  <c r="D21" i="9"/>
  <c r="D17" i="9"/>
  <c r="D22" i="9"/>
  <c r="F17" i="9"/>
  <c r="G17" i="9" s="1"/>
  <c r="X92" i="1"/>
  <c r="AA92" i="1" l="1"/>
  <c r="Z92" i="1"/>
  <c r="AL65" i="4"/>
  <c r="AM60" i="4"/>
  <c r="AC92" i="1" l="1"/>
  <c r="AD92" i="1"/>
  <c r="AM65" i="4"/>
  <c r="AN60" i="4"/>
  <c r="AN65" i="4" s="1"/>
  <c r="AF92" i="1" l="1"/>
  <c r="AG92" i="1"/>
  <c r="AI92" i="1" l="1"/>
  <c r="AJ92" i="1"/>
  <c r="AL92" i="1" l="1"/>
  <c r="AM92" i="1"/>
  <c r="AO92" i="1" l="1"/>
  <c r="X96" i="1" s="1"/>
  <c r="AM93" i="1"/>
  <c r="T4" i="8"/>
  <c r="T5" i="8"/>
  <c r="T6" i="8"/>
  <c r="T7" i="8"/>
  <c r="T8" i="8"/>
  <c r="T9" i="8"/>
  <c r="W9" i="8" s="1"/>
  <c r="X9" i="8" s="1"/>
  <c r="S4" i="8"/>
  <c r="W4" i="8"/>
  <c r="X4" i="8"/>
  <c r="W5" i="8"/>
  <c r="X5" i="8"/>
  <c r="W7" i="8"/>
  <c r="W8" i="8"/>
  <c r="W6" i="8"/>
  <c r="X6" i="8" s="1"/>
  <c r="X8" i="8"/>
  <c r="X7" i="8"/>
  <c r="S10" i="8" l="1"/>
  <c r="T10" i="8"/>
  <c r="T11" i="8" s="1"/>
  <c r="W11" i="8" s="1"/>
  <c r="X11" i="8" s="1"/>
  <c r="W10" i="8"/>
  <c r="X10" i="8" s="1"/>
  <c r="T12" i="8"/>
  <c r="S12" i="8"/>
  <c r="W12" i="8"/>
  <c r="X12" i="8" s="1"/>
  <c r="T13" i="8"/>
  <c r="T14" i="8"/>
  <c r="W13" i="8"/>
  <c r="X13" i="8"/>
  <c r="W14" i="8" l="1"/>
  <c r="X14" i="8" s="1"/>
  <c r="T15" i="8"/>
  <c r="W15" i="8" s="1"/>
  <c r="X15" i="8" s="1"/>
  <c r="I16" i="8"/>
  <c r="I6" i="8"/>
  <c r="I5" i="8"/>
  <c r="F18" i="9" s="1"/>
  <c r="I7" i="8"/>
  <c r="I8" i="8"/>
  <c r="T16" i="8"/>
  <c r="T17" i="8"/>
  <c r="T18" i="8" s="1"/>
  <c r="I4" i="8"/>
  <c r="J4" i="8"/>
  <c r="J5" i="8" s="1"/>
  <c r="J6" i="8" s="1"/>
  <c r="J7" i="8" s="1"/>
  <c r="J8" i="8" s="1"/>
  <c r="J9" i="8" s="1"/>
  <c r="J10" i="8" s="1"/>
  <c r="J11" i="8" s="1"/>
  <c r="J12" i="8" s="1"/>
  <c r="J13" i="8" s="1"/>
  <c r="J14" i="8" s="1"/>
  <c r="J15" i="8" s="1"/>
  <c r="J16" i="8" s="1"/>
  <c r="J17" i="8" s="1"/>
  <c r="J18" i="8" s="1"/>
  <c r="J19" i="8" s="1"/>
  <c r="J20" i="8" s="1"/>
  <c r="J21" i="8" s="1"/>
  <c r="J22" i="8" s="1"/>
  <c r="J23" i="8" s="1"/>
  <c r="J24" i="8" s="1"/>
  <c r="J25" i="8" s="1"/>
  <c r="I9" i="8"/>
  <c r="I11" i="8"/>
  <c r="I13" i="8"/>
  <c r="I14" i="8"/>
  <c r="I15" i="8"/>
  <c r="S16" i="8"/>
  <c r="M4" i="8"/>
  <c r="W16" i="8"/>
  <c r="X16" i="8"/>
  <c r="W17" i="8"/>
  <c r="X17" i="8" s="1"/>
  <c r="I10" i="8"/>
  <c r="I12" i="8"/>
  <c r="W18" i="8" l="1"/>
  <c r="X18" i="8" s="1"/>
  <c r="T19" i="8"/>
  <c r="W19" i="8" l="1"/>
  <c r="X19" i="8" s="1"/>
  <c r="T20" i="8"/>
  <c r="W20" i="8" l="1"/>
  <c r="X20" i="8" s="1"/>
  <c r="T21" i="8"/>
  <c r="W21" i="8" l="1"/>
  <c r="X21" i="8" s="1"/>
  <c r="T22" i="8"/>
  <c r="W22" i="8" l="1"/>
  <c r="X22" i="8" s="1"/>
  <c r="T23" i="8"/>
  <c r="W23" i="8" l="1"/>
  <c r="X23" i="8" s="1"/>
  <c r="T24" i="8"/>
  <c r="W24" i="8" l="1"/>
  <c r="X24" i="8" s="1"/>
  <c r="T25" i="8"/>
  <c r="Y25" i="8" l="1"/>
  <c r="K23" i="8" s="1"/>
  <c r="Y10" i="8"/>
  <c r="K11" i="8" s="1"/>
  <c r="Y18" i="8"/>
  <c r="Y8" i="8"/>
  <c r="K9" i="8" s="1"/>
  <c r="Y16" i="8"/>
  <c r="K17" i="8" s="1"/>
  <c r="Y22" i="8"/>
  <c r="Y23" i="8"/>
  <c r="K21" i="8" s="1"/>
  <c r="Y11" i="8"/>
  <c r="K12" i="8" s="1"/>
  <c r="Y20" i="8"/>
  <c r="Y13" i="8"/>
  <c r="K14" i="8" s="1"/>
  <c r="Y14" i="8"/>
  <c r="K15" i="8" s="1"/>
  <c r="Y9" i="8"/>
  <c r="K10" i="8" s="1"/>
  <c r="W25" i="8"/>
  <c r="X25" i="8" s="1"/>
  <c r="Y5" i="8"/>
  <c r="K6" i="8" s="1"/>
  <c r="Y7" i="8"/>
  <c r="K8" i="8" s="1"/>
  <c r="Y21" i="8"/>
  <c r="K20" i="8" s="1"/>
  <c r="Y19" i="8"/>
  <c r="K19" i="8" s="1"/>
  <c r="Y12" i="8"/>
  <c r="K13" i="8" s="1"/>
  <c r="Y17" i="8"/>
  <c r="K18" i="8" s="1"/>
  <c r="Y15" i="8"/>
  <c r="K16" i="8" s="1"/>
  <c r="Y24" i="8"/>
  <c r="K22" i="8" s="1"/>
  <c r="Y6" i="8"/>
  <c r="K7" i="8" s="1"/>
  <c r="Y4" i="8"/>
  <c r="K5" i="8" s="1"/>
  <c r="L5" i="8" s="1"/>
  <c r="M5" i="8" l="1"/>
  <c r="L6" i="8"/>
  <c r="M6" i="8" l="1"/>
  <c r="L7" i="8"/>
  <c r="M7" i="8" l="1"/>
  <c r="L8" i="8"/>
  <c r="M8" i="8" l="1"/>
  <c r="L9" i="8"/>
  <c r="M9" i="8" l="1"/>
  <c r="L10" i="8"/>
  <c r="M10" i="8" l="1"/>
  <c r="L11" i="8"/>
  <c r="M11" i="8" l="1"/>
  <c r="L12" i="8"/>
  <c r="M12" i="8" l="1"/>
  <c r="L13" i="8"/>
  <c r="M13" i="8" l="1"/>
  <c r="L14" i="8"/>
  <c r="M14" i="8" l="1"/>
  <c r="L15" i="8"/>
  <c r="M15" i="8" l="1"/>
  <c r="L16" i="8"/>
  <c r="M16" i="8" l="1"/>
  <c r="L17" i="8"/>
  <c r="M17" i="8" l="1"/>
  <c r="L18" i="8"/>
  <c r="M18" i="8" l="1"/>
  <c r="L19" i="8"/>
  <c r="M19" i="8" l="1"/>
  <c r="L20" i="8"/>
  <c r="M20" i="8" l="1"/>
  <c r="L21" i="8"/>
  <c r="D18" i="9" l="1"/>
  <c r="L22" i="8"/>
  <c r="M21" i="8"/>
  <c r="M22" i="8" l="1"/>
  <c r="L23" i="8"/>
  <c r="M23" i="8" l="1"/>
  <c r="L24" i="8"/>
  <c r="M24" i="8" l="1"/>
  <c r="L25" i="8"/>
  <c r="M25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tc={FA8CE103-3A59-41AF-9D5D-53645780F839}</author>
    <author>tc={871A935E-01FF-4937-8ED8-EDD9E9F94039}</author>
    <author>tc={1F5E68BB-5E11-4BB1-86A2-17298FF8395A}</author>
    <author>tc={E6FD0EBE-4451-4F31-9194-DCB9FD0B2CF7}</author>
    <author>tc={4073FF9B-37BC-42F2-8B23-B777472070AB}</author>
    <author>tc={2C0AC7BD-72A8-48C2-85A9-46CDA9A8BE94}</author>
    <author>tc={DD97E25D-0561-4A29-BC6B-D972AAA56BB6}</author>
    <author>tc={F6CBEED1-1716-403B-A82F-64A76CB3230C}</author>
    <author>GERALDINE OROZCO SANJUAN</author>
  </authors>
  <commentList>
    <comment ref="V7" authorId="0" shapeId="0" xr:uid="{FA8CE103-3A59-41AF-9D5D-53645780F83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autorizó pasar el corte con las unidades pintadas y soldadas que estan para despacho en lo que nos autoriza enviar a obra.</t>
        </r>
      </text>
    </comment>
    <comment ref="S27" authorId="1" shapeId="0" xr:uid="{871A935E-01FF-4937-8ED8-EDD9E9F9403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X27" authorId="2" shapeId="0" xr:uid="{1F5E68BB-5E11-4BB1-86A2-17298FF8395A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C27" authorId="3" shapeId="0" xr:uid="{E6FD0EBE-4451-4F31-9194-DCB9FD0B2CF7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7" authorId="4" shapeId="0" xr:uid="{4073FF9B-37BC-42F2-8B23-B777472070AB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M27" authorId="5" shapeId="0" xr:uid="{2C0AC7BD-72A8-48C2-85A9-46CDA9A8BE94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8" authorId="6" shapeId="0" xr:uid="{DD97E25D-0561-4A29-BC6B-D972AAA56BB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optimización de horas extras</t>
        </r>
      </text>
    </comment>
    <comment ref="J59" authorId="7" shapeId="0" xr:uid="{F6CBEED1-1716-403B-A82F-64A76CB3230C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  <comment ref="X62" authorId="8" shapeId="0" xr:uid="{9084B281-DB7C-4ABC-967E-3840BF53162A}">
      <text>
        <r>
          <rPr>
            <sz val="11"/>
            <color theme="1"/>
            <rFont val="Aptos Narrow"/>
            <family val="2"/>
            <scheme val="minor"/>
          </rPr>
          <t>GERALDINE OROZCO SANJUAN:
Pendiente actualizar a corte del sábado 27 de junio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tc={AC68A12D-5C3E-4B56-B5F4-D7F401D53896}</author>
    <author>tc={0BF63A96-EE69-4FE9-9837-C0368EC3DD35}</author>
    <author>tc={937F6365-9D0D-4D05-96DB-15395954D7BF}</author>
    <author>tc={1E45BC23-7E44-49CB-BD48-6DF1EBF57A74}</author>
    <author>tc={5E115E4C-30F9-43A4-A567-982ACAEFB090}</author>
    <author>tc={5D71C7B1-E4FD-4758-9DD4-EF9332A3E91F}</author>
  </authors>
  <commentList>
    <comment ref="S20" authorId="0" shapeId="0" xr:uid="{AC68A12D-5C3E-4B56-B5F4-D7F401D5389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X20" authorId="1" shapeId="0" xr:uid="{0BF63A96-EE69-4FE9-9837-C0368EC3DD35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C20" authorId="2" shapeId="0" xr:uid="{937F6365-9D0D-4D05-96DB-15395954D7BF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0" authorId="3" shapeId="0" xr:uid="{1E45BC23-7E44-49CB-BD48-6DF1EBF57A74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J51" authorId="4" shapeId="0" xr:uid="{5E115E4C-30F9-43A4-A567-982ACAEFB090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  <comment ref="V54" authorId="5" shapeId="0" xr:uid="{5D71C7B1-E4FD-4758-9DD4-EF9332A3E91F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los costos de transportes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tc={5931A8CD-F74E-48CE-B8A8-C27295FB1669}</author>
  </authors>
  <commentList>
    <comment ref="D73" authorId="0" shapeId="0" xr:uid="{5931A8CD-F74E-48CE-B8A8-C27295FB1669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tc={5C411CF8-95E6-427F-987A-F72068CADB68}</author>
    <author>tc={D77DC988-9203-43D3-B431-13D553A97202}</author>
    <author>tc={7D48C685-91A9-4EE6-B762-58EAD0404E39}</author>
    <author>tc={D895E5B8-064A-4FA3-8D01-38A976BEE6E3}</author>
    <author>tc={B6F796CC-E7F1-4A77-B30E-09533DA51F9F}</author>
    <author>tc={A33D3B94-5BA0-49ED-959C-9C9DE13D8891}</author>
    <author>tc={0F205181-B18C-4E59-8311-ABF493B44D1A}</author>
    <author>tc={401F68F0-063B-4798-A1CC-CED35DEB7C03}</author>
    <author>tc={B829816B-81E6-4D16-9F81-CE9D6A79412B}</author>
    <author>GERALDINE OROZCO SANJUAN</author>
  </authors>
  <commentList>
    <comment ref="V7" authorId="0" shapeId="0" xr:uid="{5C411CF8-95E6-427F-987A-F72068CADB68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autorizó pasar el corte con las unidades pintadas y soldadas que estan para despacho en lo que nos autoriza enviar a obra.</t>
        </r>
      </text>
    </comment>
    <comment ref="S27" authorId="1" shapeId="0" xr:uid="{D77DC988-9203-43D3-B431-13D553A97202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X27" authorId="2" shapeId="0" xr:uid="{7D48C685-91A9-4EE6-B762-58EAD0404E3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C27" authorId="3" shapeId="0" xr:uid="{D895E5B8-064A-4FA3-8D01-38A976BEE6E3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7" authorId="4" shapeId="0" xr:uid="{B6F796CC-E7F1-4A77-B30E-09533DA51F9F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M27" authorId="5" shapeId="0" xr:uid="{A33D3B94-5BA0-49ED-959C-9C9DE13D8891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R27" authorId="6" shapeId="0" xr:uid="{0F205181-B18C-4E59-8311-ABF493B44D1A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8" authorId="7" shapeId="0" xr:uid="{401F68F0-063B-4798-A1CC-CED35DEB7C03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Revisar optimización de horas extras</t>
        </r>
      </text>
    </comment>
    <comment ref="J59" authorId="8" shapeId="0" xr:uid="{B829816B-81E6-4D16-9F81-CE9D6A79412B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  <comment ref="X62" authorId="9" shapeId="0" xr:uid="{06279D9E-2D34-4A0E-A9E7-27296CB9DC66}">
      <text>
        <r>
          <rPr>
            <sz val="11"/>
            <color theme="1"/>
            <rFont val="Aptos Narrow"/>
            <family val="2"/>
            <scheme val="minor"/>
          </rPr>
          <t>GERALDINE OROZCO SANJUAN:
Pendiente actualizar a corte del sábado 27 de junio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tc={A40C6C8C-AF0C-4BE9-845E-3F923B56C7F9}</author>
    <author>tc={ACE1E47A-4744-4450-AFA9-6D42477001B0}</author>
    <author>tc={BDF8F652-A963-442A-947E-F5F171511AB2}</author>
    <author>tc={D628CF4C-C3B3-49E4-8ECC-8685B1A81436}</author>
    <author>tc={BF899EDF-86D9-49AE-A437-7908FEC59AF5}</author>
    <author>tc={1AF1D732-0B22-44A7-9C99-6AB3915D67CE}</author>
    <author>tc={4FAFAFCB-75EA-4823-BB7E-187BC08EC964}</author>
    <author>tc={00E00FF7-7AC8-4914-81BB-39ACD6C6C627}</author>
    <author>GERALDINE OROZCO SANJUAN</author>
    <author>tc={65519F7E-AF9D-4A83-96BB-D101C7BB6AB7}</author>
  </authors>
  <commentList>
    <comment ref="V7" authorId="0" shapeId="0" xr:uid="{A40C6C8C-AF0C-4BE9-845E-3F923B56C7F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El cliente autorizó pasar el corte con las unidades pintadas y soldadas que estan para despacho en lo que nos autoriza enviar a obra.</t>
        </r>
      </text>
    </comment>
    <comment ref="S27" authorId="1" shapeId="0" xr:uid="{ACE1E47A-4744-4450-AFA9-6D42477001B0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X27" authorId="2" shapeId="0" xr:uid="{BDF8F652-A963-442A-947E-F5F171511AB2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C27" authorId="3" shapeId="0" xr:uid="{D628CF4C-C3B3-49E4-8ECC-8685B1A81436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27" authorId="4" shapeId="0" xr:uid="{BF899EDF-86D9-49AE-A437-7908FEC59AF5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M27" authorId="5" shapeId="0" xr:uid="{1AF1D732-0B22-44A7-9C99-6AB3915D67CE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R27" authorId="6" shapeId="0" xr:uid="{4FAFAFCB-75EA-4823-BB7E-187BC08EC964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J59" authorId="7" shapeId="0" xr:uid="{00E00FF7-7AC8-4914-81BB-39ACD6C6C627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  <comment ref="X62" authorId="8" shapeId="0" xr:uid="{1A83A8F2-5EC7-4268-BCCA-31E34EABA817}">
      <text>
        <r>
          <rPr>
            <sz val="11"/>
            <color theme="1"/>
            <rFont val="Aptos Narrow"/>
            <family val="2"/>
            <scheme val="minor"/>
          </rPr>
          <t>GERALDINE OROZCO SANJUAN:
Pendiente actualizar a corte del sábado 27 de junio</t>
        </r>
      </text>
    </comment>
    <comment ref="AH62" authorId="9" shapeId="0" xr:uid="{65519F7E-AF9D-4A83-96BB-D101C7BB6AB7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actualizar
Respuesta:
    Incluir la división por talleres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tc={EE6F29A9-09A8-476D-8DE5-2208731648C2}</author>
    <author>tc={1D472CBC-73D8-4FEE-AF56-16C44928422E}</author>
    <author>tc={37752E44-72B9-4870-8478-F844DF56EA49}</author>
    <author>tc={798B7FCB-3617-4657-9997-E5B0BD358859}</author>
    <author>tc={2B261627-9B28-45EE-B67C-E0817626E665}</author>
  </authors>
  <commentList>
    <comment ref="S17" authorId="0" shapeId="0" xr:uid="{EE6F29A9-09A8-476D-8DE5-2208731648C2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X17" authorId="1" shapeId="0" xr:uid="{1D472CBC-73D8-4FEE-AF56-16C44928422E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C17" authorId="2" shapeId="0" xr:uid="{37752E44-72B9-4870-8478-F844DF56EA4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AH17" authorId="3" shapeId="0" xr:uid="{798B7FCB-3617-4657-9997-E5B0BD358859}">
      <text>
        <r>
          <rPr>
            <sz val="11"/>
            <color theme="1"/>
            <rFont val="Aptos Narrow"/>
            <family val="2"/>
            <scheme val="minor"/>
          </rPr>
  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Aterrizar valor con michelle</t>
        </r>
      </text>
    </comment>
    <comment ref="J49" authorId="4" shapeId="0" xr:uid="{2B261627-9B28-45EE-B67C-E0817626E665}">
      <text>
        <r>
          <rPr>
            <sz val="11"/>
            <color theme="1"/>
            <rFont val="Aptos Narrow"/>
            <family val="2"/>
            <scheme val="minor"/>
          </rPr>
          <t xml:space="preserve"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Meter el Iva porque es pleno
</t>
        </r>
      </text>
    </comment>
  </commentList>
</comments>
</file>

<file path=xl/sharedStrings.xml><?xml version="1.0" encoding="utf-8"?>
<sst xmlns="http://schemas.openxmlformats.org/spreadsheetml/2006/main" count="1523" uniqueCount="332">
  <si>
    <t>Código</t>
  </si>
  <si>
    <t>ITEM</t>
  </si>
  <si>
    <t>Cantidad+desp.</t>
  </si>
  <si>
    <t>Unidad de medida</t>
  </si>
  <si>
    <t>Valor Unitario</t>
  </si>
  <si>
    <t>Total presupuesto</t>
  </si>
  <si>
    <t>Valor total</t>
  </si>
  <si>
    <t>semana 1</t>
  </si>
  <si>
    <t>semana 2</t>
  </si>
  <si>
    <t>semana 3</t>
  </si>
  <si>
    <t>semana 4</t>
  </si>
  <si>
    <t>Total Abril 2026</t>
  </si>
  <si>
    <t>semana 5</t>
  </si>
  <si>
    <t>semana 6</t>
  </si>
  <si>
    <t>semana 7</t>
  </si>
  <si>
    <t>semana 8</t>
  </si>
  <si>
    <t>Total mayo 2026</t>
  </si>
  <si>
    <t>semana 9</t>
  </si>
  <si>
    <t>semana 10</t>
  </si>
  <si>
    <t>semana 11</t>
  </si>
  <si>
    <t>semana 12</t>
  </si>
  <si>
    <t>Total junio 2026</t>
  </si>
  <si>
    <t>semana 13</t>
  </si>
  <si>
    <t>semana 14</t>
  </si>
  <si>
    <t>semana 15</t>
  </si>
  <si>
    <t>semana 16</t>
  </si>
  <si>
    <t>Total julio 2026</t>
  </si>
  <si>
    <t>semana 17</t>
  </si>
  <si>
    <t>semana 18</t>
  </si>
  <si>
    <t>semana 19</t>
  </si>
  <si>
    <t>semana 20</t>
  </si>
  <si>
    <t>Total Agosto 2026</t>
  </si>
  <si>
    <t>Indirectos</t>
  </si>
  <si>
    <t>1.1</t>
  </si>
  <si>
    <t>Polizas talleres</t>
  </si>
  <si>
    <t>1.1.1</t>
  </si>
  <si>
    <t>Buen manejo de anticipo</t>
  </si>
  <si>
    <t>glb</t>
  </si>
  <si>
    <t>1.1.2</t>
  </si>
  <si>
    <t>Cumplimiento</t>
  </si>
  <si>
    <t>1.1.3</t>
  </si>
  <si>
    <t>Salarios y prestaciones sociales</t>
  </si>
  <si>
    <t>1.1.4</t>
  </si>
  <si>
    <t>Estabilidad de obra</t>
  </si>
  <si>
    <t>1.1.5</t>
  </si>
  <si>
    <t>Calidad de obra</t>
  </si>
  <si>
    <t>1.1.6</t>
  </si>
  <si>
    <t>Responsabilidad civil extracontractural</t>
  </si>
  <si>
    <t>1.2.</t>
  </si>
  <si>
    <t>Impuestos</t>
  </si>
  <si>
    <t>1.2.1</t>
  </si>
  <si>
    <t>FIC</t>
  </si>
  <si>
    <t>1.2.2</t>
  </si>
  <si>
    <t>ICA</t>
  </si>
  <si>
    <t>1.2.3</t>
  </si>
  <si>
    <t>Cuatro por 1000</t>
  </si>
  <si>
    <t>1.3</t>
  </si>
  <si>
    <t>Personal administración</t>
  </si>
  <si>
    <t>1.3.1</t>
  </si>
  <si>
    <t>Profesional de calidad 100%</t>
  </si>
  <si>
    <t>mes</t>
  </si>
  <si>
    <t>1.4</t>
  </si>
  <si>
    <t>Campamentos, protecciones e insumos de obra</t>
  </si>
  <si>
    <t>1.4.1</t>
  </si>
  <si>
    <t>Kit señalización para campamentos (hasta 120 m2)</t>
  </si>
  <si>
    <t>und</t>
  </si>
  <si>
    <t>1.4.2</t>
  </si>
  <si>
    <t>Cascos de seguridad</t>
  </si>
  <si>
    <t>1.4.3</t>
  </si>
  <si>
    <t>Protección auditiva</t>
  </si>
  <si>
    <t>1.4.4</t>
  </si>
  <si>
    <t>Guantes de nitrilo</t>
  </si>
  <si>
    <t>1.4.5</t>
  </si>
  <si>
    <t>Par de botas de agua</t>
  </si>
  <si>
    <t>1.4.6</t>
  </si>
  <si>
    <t>Par de botas de seguridad</t>
  </si>
  <si>
    <t>1.4.7</t>
  </si>
  <si>
    <t>Gafas de seguridad</t>
  </si>
  <si>
    <t>1.4.8</t>
  </si>
  <si>
    <t>Chalecos reflectivos</t>
  </si>
  <si>
    <t>1.4.9</t>
  </si>
  <si>
    <t>Overoles</t>
  </si>
  <si>
    <t>1.5</t>
  </si>
  <si>
    <t>G.C.</t>
  </si>
  <si>
    <t>1.5.1</t>
  </si>
  <si>
    <t>TRANSPORTES</t>
  </si>
  <si>
    <t>Viaticos</t>
  </si>
  <si>
    <t>3.1</t>
  </si>
  <si>
    <t>3.1.1</t>
  </si>
  <si>
    <t>Hospedaje</t>
  </si>
  <si>
    <t>3.1.2</t>
  </si>
  <si>
    <t>Transportes</t>
  </si>
  <si>
    <t>3.1.3</t>
  </si>
  <si>
    <t>Pasajes</t>
  </si>
  <si>
    <t>3.1.4</t>
  </si>
  <si>
    <t>Alimentacion</t>
  </si>
  <si>
    <t>INGENIERÍA</t>
  </si>
  <si>
    <t>4.1</t>
  </si>
  <si>
    <t>Ingenieria de taller</t>
  </si>
  <si>
    <t>4.1.1</t>
  </si>
  <si>
    <t>Suministros</t>
  </si>
  <si>
    <t>5.1</t>
  </si>
  <si>
    <t>PINTURA</t>
  </si>
  <si>
    <t>5.1.1</t>
  </si>
  <si>
    <t>Epoxico</t>
  </si>
  <si>
    <t>5.1.1.1</t>
  </si>
  <si>
    <t>Anticorrosivo epoxico x cuñete</t>
  </si>
  <si>
    <t>Cuñetes</t>
  </si>
  <si>
    <t>5.1.1.2</t>
  </si>
  <si>
    <t>Catalizador</t>
  </si>
  <si>
    <t>5.1.1.3</t>
  </si>
  <si>
    <t>Disolvente epoxicco cuñete</t>
  </si>
  <si>
    <t>5.1.2</t>
  </si>
  <si>
    <t>Pintura</t>
  </si>
  <si>
    <t>5.1.2.1</t>
  </si>
  <si>
    <t>Esmalte Urretano</t>
  </si>
  <si>
    <t>5.1.2.2</t>
  </si>
  <si>
    <t>Catalizador Urretano</t>
  </si>
  <si>
    <t>5.1.2.3</t>
  </si>
  <si>
    <t>Solvente Uretano</t>
  </si>
  <si>
    <t>Mano de obra</t>
  </si>
  <si>
    <t>6.1</t>
  </si>
  <si>
    <t>Fabricación de EEMM</t>
  </si>
  <si>
    <t>6.1.1</t>
  </si>
  <si>
    <t>Lámina ARMADO</t>
  </si>
  <si>
    <t>Kg</t>
  </si>
  <si>
    <t>6.1.1.p</t>
  </si>
  <si>
    <t>Proveedor</t>
  </si>
  <si>
    <t>Totales</t>
  </si>
  <si>
    <t>OPC 1</t>
  </si>
  <si>
    <t xml:space="preserve">Costo </t>
  </si>
  <si>
    <t>Margen</t>
  </si>
  <si>
    <t>A</t>
  </si>
  <si>
    <t>I</t>
  </si>
  <si>
    <t>U</t>
  </si>
  <si>
    <t>IVA</t>
  </si>
  <si>
    <t>Total</t>
  </si>
  <si>
    <t>Anticipo</t>
  </si>
  <si>
    <t>Corte avance (2 semanas) 50 ton pago en 30 días</t>
  </si>
  <si>
    <t>Corte avance entrega final 30 ton pago en 30 días</t>
  </si>
  <si>
    <t>Cuadro de Control</t>
  </si>
  <si>
    <t>EMPRESA:</t>
  </si>
  <si>
    <t>NORTON EDIFICIOS INDUSTRIALES COLOMBIA SAS</t>
  </si>
  <si>
    <t>DOMICILIO:</t>
  </si>
  <si>
    <t>Calle 93 # 12 - 14, Edificio Tempo 93, Oficina 704</t>
  </si>
  <si>
    <t>OBRA:</t>
  </si>
  <si>
    <t>16-16</t>
  </si>
  <si>
    <t>CÓDIGO:</t>
  </si>
  <si>
    <t>UBICACIÓN:</t>
  </si>
  <si>
    <t>Bogota</t>
  </si>
  <si>
    <t>FECHA:</t>
  </si>
  <si>
    <t>Resumen consolidado</t>
  </si>
  <si>
    <t>GRUPO</t>
  </si>
  <si>
    <t>TOTAL</t>
  </si>
  <si>
    <t>Porcentaje</t>
  </si>
  <si>
    <t>COSTO</t>
  </si>
  <si>
    <t>MARGEN</t>
  </si>
  <si>
    <t>Presupuesto</t>
  </si>
  <si>
    <t>Proyectado</t>
  </si>
  <si>
    <t>Avance de Obra</t>
  </si>
  <si>
    <t>Ingresos Real</t>
  </si>
  <si>
    <t>Egresos real</t>
  </si>
  <si>
    <t>Avance Contabilidad</t>
  </si>
  <si>
    <t>Costo de punto de margen</t>
  </si>
  <si>
    <t>Margen acumulado a hoy</t>
  </si>
  <si>
    <t>DATOS DE EXPLOTACIÓN</t>
  </si>
  <si>
    <t>Meses o costo/u</t>
  </si>
  <si>
    <t>Detalles</t>
  </si>
  <si>
    <t>ABRIL</t>
  </si>
  <si>
    <t>MAYO</t>
  </si>
  <si>
    <t>JUNIO</t>
  </si>
  <si>
    <t>JULIO</t>
  </si>
  <si>
    <t>AGOSTO</t>
  </si>
  <si>
    <t>SEPTIEMBRE</t>
  </si>
  <si>
    <t>Diferencia</t>
  </si>
  <si>
    <t>% DE FACTURACIÓN</t>
  </si>
  <si>
    <t xml:space="preserve">FACTURACION  PROYECTO </t>
  </si>
  <si>
    <t>VALOR FACTURADO</t>
  </si>
  <si>
    <t>ANTICIPO</t>
  </si>
  <si>
    <t>Asegurado</t>
  </si>
  <si>
    <t>Real</t>
  </si>
  <si>
    <t>Contabilidad</t>
  </si>
  <si>
    <t>Cantidad</t>
  </si>
  <si>
    <t>Total proyectado</t>
  </si>
  <si>
    <t>Desviacion</t>
  </si>
  <si>
    <t>1.3.2</t>
  </si>
  <si>
    <t>Residente administrativo</t>
  </si>
  <si>
    <t>6.1.1.</t>
  </si>
  <si>
    <t>Proveedor 1</t>
  </si>
  <si>
    <t>6.1.2.</t>
  </si>
  <si>
    <t>Proveedor 2</t>
  </si>
  <si>
    <t>Total costos</t>
  </si>
  <si>
    <t>Total margen</t>
  </si>
  <si>
    <t>Total venta</t>
  </si>
  <si>
    <t>IVA 19% sobre utilidad del 5%</t>
  </si>
  <si>
    <t>Total venta + IVA</t>
  </si>
  <si>
    <t>MES</t>
  </si>
  <si>
    <t>PRESUPUESTO</t>
  </si>
  <si>
    <t>Proyectada</t>
  </si>
  <si>
    <t>FLUJO DEL PROYECTO</t>
  </si>
  <si>
    <t>COBRO DE FACTURAS</t>
  </si>
  <si>
    <t>AMORTIZACIÓN ANTICIPO</t>
  </si>
  <si>
    <t>GASTO MENSUAL</t>
  </si>
  <si>
    <t>FLUJO DE CAJA MENSUAL</t>
  </si>
  <si>
    <t>FLUJO DE CAJA ACUMULADO</t>
  </si>
  <si>
    <t>NECESIDAD FINANCIERA</t>
  </si>
  <si>
    <t>Edificio CL 16</t>
  </si>
  <si>
    <t>5396-R1</t>
  </si>
  <si>
    <t>Bogotá - Colombia</t>
  </si>
  <si>
    <t>Mes 1</t>
  </si>
  <si>
    <t>Mes 2</t>
  </si>
  <si>
    <t>Mes 3</t>
  </si>
  <si>
    <t>Mes 4</t>
  </si>
  <si>
    <t>FACTURACIÓN</t>
  </si>
  <si>
    <t>VALOR FACUTADO</t>
  </si>
  <si>
    <t xml:space="preserve"> $ -   </t>
  </si>
  <si>
    <t>DESGLOSE DE COSTOS DEL PROYECTO</t>
  </si>
  <si>
    <t>Personal de obra</t>
  </si>
  <si>
    <t>Campamento y equipos de oficina</t>
  </si>
  <si>
    <t xml:space="preserve">-     </t>
  </si>
  <si>
    <t>Protecciones individuales</t>
  </si>
  <si>
    <t>Viaticos personal</t>
  </si>
  <si>
    <t>Topografia</t>
  </si>
  <si>
    <t>Diseños</t>
  </si>
  <si>
    <t>Comisión comercial</t>
  </si>
  <si>
    <t>Garantias</t>
  </si>
  <si>
    <t>Intereses prestamos España</t>
  </si>
  <si>
    <t>EEMM</t>
  </si>
  <si>
    <t xml:space="preserve">$ -   </t>
  </si>
  <si>
    <t>MARGEN FINAL</t>
  </si>
  <si>
    <t>Total Septiembre 2026</t>
  </si>
  <si>
    <t xml:space="preserve">Residente administrativo </t>
  </si>
  <si>
    <t xml:space="preserve">mes </t>
  </si>
  <si>
    <t>Toneladas</t>
  </si>
  <si>
    <t>Precio</t>
  </si>
  <si>
    <t xml:space="preserve">residente administrativo </t>
  </si>
  <si>
    <t>descuento a nivel de kilos y precios</t>
  </si>
  <si>
    <t>ABR</t>
  </si>
  <si>
    <t>MAY</t>
  </si>
  <si>
    <t>JUN</t>
  </si>
  <si>
    <t>JUL</t>
  </si>
  <si>
    <t>AGO</t>
  </si>
  <si>
    <t>Id Tercero</t>
  </si>
  <si>
    <t>Nombre Tercero</t>
  </si>
  <si>
    <t>Codigo Clase Art.</t>
  </si>
  <si>
    <t>Nombre Clase Art.</t>
  </si>
  <si>
    <t>Codigo Grupo Art.</t>
  </si>
  <si>
    <t>Nombre Grupo Art.</t>
  </si>
  <si>
    <t>Referencia Articulo</t>
  </si>
  <si>
    <t>Nombre Articulo</t>
  </si>
  <si>
    <t>Unidad Articulo</t>
  </si>
  <si>
    <t>Año Proceso</t>
  </si>
  <si>
    <t>Mes Proceso</t>
  </si>
  <si>
    <t>Mes Corte</t>
  </si>
  <si>
    <t>Valor Compra</t>
  </si>
  <si>
    <t>Porcentaje IVA</t>
  </si>
  <si>
    <t>Iva</t>
  </si>
  <si>
    <t>Cantidad Venta</t>
  </si>
  <si>
    <t>Cantidad Devuelta</t>
  </si>
  <si>
    <t>Peso Total</t>
  </si>
  <si>
    <t>Tipo Cuenta</t>
  </si>
  <si>
    <t>Descripcion Servicio</t>
  </si>
  <si>
    <t>Fecha Documento</t>
  </si>
  <si>
    <t>Numero Documento</t>
  </si>
  <si>
    <t>Codigo Seccion</t>
  </si>
  <si>
    <t>Nombre Seccion</t>
  </si>
  <si>
    <t>Tipo Movimiento</t>
  </si>
  <si>
    <t>Nombre del Tipo</t>
  </si>
  <si>
    <t>Curva S inicial</t>
  </si>
  <si>
    <t xml:space="preserve">Hito </t>
  </si>
  <si>
    <t>Curva S con retrasos cliente</t>
  </si>
  <si>
    <t>Fecha inicial</t>
  </si>
  <si>
    <t>Mes</t>
  </si>
  <si>
    <t>TIPO</t>
  </si>
  <si>
    <t xml:space="preserve">SEMANA </t>
  </si>
  <si>
    <t xml:space="preserve">CAPITULOS ACTIVOS </t>
  </si>
  <si>
    <t xml:space="preserve">%SEMANA </t>
  </si>
  <si>
    <t xml:space="preserve">%ACUMULADO </t>
  </si>
  <si>
    <t xml:space="preserve">%SEMANA REAL  </t>
  </si>
  <si>
    <t xml:space="preserve">%ACUMULADO  REAL </t>
  </si>
  <si>
    <t xml:space="preserve">En kG </t>
  </si>
  <si>
    <t xml:space="preserve">ELEMENTOS </t>
  </si>
  <si>
    <t>Total real</t>
  </si>
  <si>
    <t>desviacion</t>
  </si>
  <si>
    <t>Avance</t>
  </si>
  <si>
    <t>mayo</t>
  </si>
  <si>
    <t>Fisico</t>
  </si>
  <si>
    <t>Habilitado</t>
  </si>
  <si>
    <t>De acuerdo a platineria y matertial de arriostramiento. Retraso del 6 d emayo al 13 mayo</t>
  </si>
  <si>
    <t>Habilitado + Armado</t>
  </si>
  <si>
    <t>Armado</t>
  </si>
  <si>
    <t>junio</t>
  </si>
  <si>
    <t>Armado + Soldado</t>
  </si>
  <si>
    <t>Retraso por planos y prioridad de fabricacion. Del 19 de mayo al 22 de mayo</t>
  </si>
  <si>
    <t>Soldado</t>
  </si>
  <si>
    <t>Soldado + Pintura</t>
  </si>
  <si>
    <t>Retraso por planos faltantes de detalles de elementos y realizaron actualizacion de modelo, qu elleva a cambio de detalles, y se espera a cargue de informacion por parte de maurico.Retraso del 9 al 11 de junio.</t>
  </si>
  <si>
    <t>julio</t>
  </si>
  <si>
    <t>Pintura + Despacho</t>
  </si>
  <si>
    <t>Se evidencia que los dias 16 y 17 de junio se presentaron retrasos en respuestas tecnicas debido a falta de marcas que no estan en listados y materiales especificos.retarso de 2 dias</t>
  </si>
  <si>
    <t>Despacho</t>
  </si>
  <si>
    <t>Despacho + Cierre</t>
  </si>
  <si>
    <t>Se evidencia matetial pendiente desde el 10 de junio.Este material no se encontraba aun el 22 de junio. Se evidencia todavia 3 dias retraos s de informacion. 3 dias de retraso</t>
  </si>
  <si>
    <t>agosto</t>
  </si>
  <si>
    <t>Se evidencia retraso de información el 30 de junio. Falta de material solicitado el 10 de junio que aun no llega. Retraso 5 dias.</t>
  </si>
  <si>
    <t xml:space="preserve">Consultas 03 de julio </t>
  </si>
  <si>
    <t>septiembre</t>
  </si>
  <si>
    <t xml:space="preserve">Consultas 10 de julio </t>
  </si>
  <si>
    <t xml:space="preserve">Consultas 15 de julio </t>
  </si>
  <si>
    <t>octubre</t>
  </si>
  <si>
    <t xml:space="preserve">Consultas 11 de agosto </t>
  </si>
  <si>
    <t>Dudas</t>
  </si>
  <si>
    <t>Respuesta</t>
  </si>
  <si>
    <t>En estructuracion de estrategia, cambio de contratista</t>
  </si>
  <si>
    <t>Ya no va por el costo a 5600</t>
  </si>
  <si>
    <t>Se piensa trasladar las 200 toneladas a traves del contratista actual</t>
  </si>
  <si>
    <t>Sino se debe buscar otro</t>
  </si>
  <si>
    <t>Informacion retrasada correspondiente al cliente</t>
  </si>
  <si>
    <t>No tienen el dato del calculo del riesgo (1,5 a 4)</t>
  </si>
  <si>
    <t>No se puede calcular con 38 dias</t>
  </si>
  <si>
    <t>38 dias</t>
  </si>
  <si>
    <t>Actualizar curva S</t>
  </si>
  <si>
    <t>Actualizar flujo hasta septiembre</t>
  </si>
  <si>
    <t>Actualziar cotos a cierre</t>
  </si>
  <si>
    <t>semana 21</t>
  </si>
  <si>
    <t>semana 22</t>
  </si>
  <si>
    <t>semana 23</t>
  </si>
  <si>
    <t>semana 24</t>
  </si>
  <si>
    <t>Total Septiembre 2027</t>
  </si>
  <si>
    <t>Total Octubre 2026</t>
  </si>
  <si>
    <t>OCTUBRE</t>
  </si>
  <si>
    <t>Total oCTUBRE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</si>
</sst>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  <numFmt numFmtId="165" formatCode="_-[$$-240A]\ * #,##0.00_-;\-[$$-240A]\ * #,##0.00_-;_-[$$-240A]\ * &quot;-&quot;??_-;_-@_-"/>
    <numFmt numFmtId="166" formatCode="_-&quot;$&quot;\ * #,##0.000000000000_-;\-&quot;$&quot;\ * #,##0.000000000000_-;_-&quot;$&quot;\ * &quot;-&quot;??_-;_-@_-"/>
    <numFmt numFmtId="167" formatCode="0.0%"/>
  </numFmts>
  <fonts count="3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4"/>
      <color theme="0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4"/>
      <name val="Arial"/>
      <family val="2"/>
    </font>
    <font>
      <sz val="10"/>
      <name val="Arial"/>
      <family val="2"/>
    </font>
    <font>
      <b/>
      <sz val="9"/>
      <color theme="1"/>
      <name val="Arial"/>
      <family val="2"/>
    </font>
    <font>
      <sz val="10"/>
      <name val="Century Gothic"/>
      <family val="2"/>
    </font>
    <font>
      <sz val="11"/>
      <color theme="1"/>
      <name val="Century Gothic"/>
      <family val="2"/>
    </font>
    <font>
      <sz val="11"/>
      <name val="Arial"/>
      <family val="2"/>
    </font>
    <font>
      <sz val="9"/>
      <color theme="0"/>
      <name val="Arial"/>
      <family val="2"/>
    </font>
    <font>
      <b/>
      <sz val="9"/>
      <color rgb="FFFFFFFF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4A66AC"/>
      <name val="Arial"/>
      <family val="2"/>
    </font>
    <font>
      <sz val="9"/>
      <color rgb="FF0000FF"/>
      <name val="Arial"/>
      <family val="2"/>
    </font>
    <font>
      <b/>
      <sz val="9"/>
      <color rgb="FF0000FF"/>
      <name val="Arial"/>
      <family val="2"/>
    </font>
    <font>
      <b/>
      <sz val="9"/>
      <color rgb="FFFF0000"/>
      <name val="Arial"/>
      <family val="2"/>
    </font>
    <font>
      <sz val="9"/>
      <name val="Arial"/>
      <family val="2"/>
    </font>
    <font>
      <sz val="9"/>
      <color rgb="FFFF0000"/>
      <name val="Arial"/>
      <family val="2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.25"/>
      <color rgb="FF000000"/>
      <name val="Tahoma"/>
      <family val="2"/>
    </font>
    <font>
      <b/>
      <sz val="8.25"/>
      <color rgb="FF000000"/>
      <name val="Tahoma"/>
      <family val="2"/>
    </font>
    <font>
      <b/>
      <sz val="10"/>
      <name val="Century Gothic"/>
      <family val="2"/>
    </font>
    <font>
      <sz val="11"/>
      <color theme="0"/>
      <name val="Aptos Narrow"/>
      <family val="2"/>
      <scheme val="minor"/>
    </font>
    <font>
      <sz val="10"/>
      <name val="Century Gothic"/>
      <family val="1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11"/>
      <color theme="1"/>
      <name val="Century Gothic"/>
      <family val="1"/>
    </font>
    <font>
      <b/>
      <sz val="9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00205B"/>
        <bgColor theme="4"/>
      </patternFill>
    </fill>
    <fill>
      <patternFill patternType="solid">
        <fgColor theme="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205B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205B"/>
        <bgColor rgb="FF4A66AC"/>
      </patternFill>
    </fill>
    <fill>
      <patternFill patternType="solid">
        <fgColor rgb="FFFFFFFF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00205B"/>
        <bgColor rgb="FF000000"/>
      </patternFill>
    </fill>
    <fill>
      <patternFill patternType="solid">
        <fgColor rgb="FFC8102E"/>
        <bgColor rgb="FF000000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D3D3D3"/>
        <bgColor rgb="FF000000"/>
      </patternFill>
    </fill>
    <fill>
      <patternFill patternType="solid">
        <fgColor rgb="FFF8CBAD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/>
    <xf numFmtId="0" fontId="11" fillId="0" borderId="0"/>
    <xf numFmtId="0" fontId="7" fillId="0" borderId="0"/>
    <xf numFmtId="44" fontId="1" fillId="0" borderId="0" applyFont="0" applyFill="0" applyBorder="0" applyAlignment="0" applyProtection="0"/>
  </cellStyleXfs>
  <cellXfs count="485">
    <xf numFmtId="0" fontId="0" fillId="0" borderId="0" xfId="0"/>
    <xf numFmtId="44" fontId="0" fillId="0" borderId="0" xfId="1" applyFont="1"/>
    <xf numFmtId="0" fontId="0" fillId="0" borderId="0" xfId="0" applyAlignment="1">
      <alignment horizontal="left" wrapText="1"/>
    </xf>
    <xf numFmtId="2" fontId="0" fillId="0" borderId="0" xfId="0" applyNumberFormat="1"/>
    <xf numFmtId="0" fontId="4" fillId="3" borderId="2" xfId="0" applyFont="1" applyFill="1" applyBorder="1" applyAlignment="1">
      <alignment horizontal="left" wrapText="1"/>
    </xf>
    <xf numFmtId="0" fontId="4" fillId="3" borderId="3" xfId="0" applyFont="1" applyFill="1" applyBorder="1" applyAlignment="1">
      <alignment wrapText="1"/>
    </xf>
    <xf numFmtId="2" fontId="4" fillId="3" borderId="3" xfId="0" applyNumberFormat="1" applyFont="1" applyFill="1" applyBorder="1"/>
    <xf numFmtId="44" fontId="4" fillId="3" borderId="3" xfId="1" applyFont="1" applyFill="1" applyBorder="1"/>
    <xf numFmtId="44" fontId="4" fillId="3" borderId="0" xfId="1" applyFont="1" applyFill="1"/>
    <xf numFmtId="0" fontId="4" fillId="3" borderId="0" xfId="0" applyFont="1" applyFill="1"/>
    <xf numFmtId="44" fontId="0" fillId="3" borderId="0" xfId="1" applyFont="1" applyFill="1"/>
    <xf numFmtId="0" fontId="5" fillId="3" borderId="1" xfId="0" applyFont="1" applyFill="1" applyBorder="1" applyAlignment="1">
      <alignment horizontal="left" vertical="center" wrapText="1"/>
    </xf>
    <xf numFmtId="0" fontId="5" fillId="3" borderId="0" xfId="0" applyFont="1" applyFill="1" applyAlignment="1">
      <alignment vertical="center"/>
    </xf>
    <xf numFmtId="2" fontId="5" fillId="3" borderId="0" xfId="0" applyNumberFormat="1" applyFont="1" applyFill="1" applyAlignment="1">
      <alignment vertical="center"/>
    </xf>
    <xf numFmtId="44" fontId="5" fillId="3" borderId="0" xfId="1" applyFont="1" applyFill="1" applyAlignment="1">
      <alignment vertical="center"/>
    </xf>
    <xf numFmtId="0" fontId="5" fillId="3" borderId="0" xfId="0" applyFont="1" applyFill="1" applyAlignment="1">
      <alignment horizontal="left" vertical="center" wrapText="1"/>
    </xf>
    <xf numFmtId="2" fontId="4" fillId="3" borderId="0" xfId="0" applyNumberFormat="1" applyFont="1" applyFill="1"/>
    <xf numFmtId="0" fontId="6" fillId="3" borderId="0" xfId="0" applyFont="1" applyFill="1" applyAlignment="1">
      <alignment horizontal="left" vertical="center"/>
    </xf>
    <xf numFmtId="44" fontId="6" fillId="3" borderId="0" xfId="1" applyFont="1" applyFill="1" applyAlignment="1">
      <alignment horizontal="left" vertical="center"/>
    </xf>
    <xf numFmtId="44" fontId="5" fillId="3" borderId="0" xfId="1" quotePrefix="1" applyFont="1" applyFill="1" applyAlignment="1">
      <alignment horizontal="left" vertical="center" wrapText="1"/>
    </xf>
    <xf numFmtId="0" fontId="4" fillId="3" borderId="6" xfId="0" applyFont="1" applyFill="1" applyBorder="1" applyAlignment="1">
      <alignment horizontal="left" wrapText="1"/>
    </xf>
    <xf numFmtId="0" fontId="4" fillId="3" borderId="7" xfId="0" applyFont="1" applyFill="1" applyBorder="1" applyAlignment="1">
      <alignment wrapText="1"/>
    </xf>
    <xf numFmtId="2" fontId="4" fillId="3" borderId="7" xfId="0" applyNumberFormat="1" applyFont="1" applyFill="1" applyBorder="1"/>
    <xf numFmtId="44" fontId="4" fillId="3" borderId="7" xfId="1" applyFont="1" applyFill="1" applyBorder="1"/>
    <xf numFmtId="0" fontId="4" fillId="3" borderId="7" xfId="0" applyFont="1" applyFill="1" applyBorder="1"/>
    <xf numFmtId="0" fontId="3" fillId="4" borderId="9" xfId="3" applyFont="1" applyFill="1" applyBorder="1" applyAlignment="1">
      <alignment horizontal="center" vertical="center" wrapText="1"/>
    </xf>
    <xf numFmtId="2" fontId="3" fillId="4" borderId="9" xfId="3" applyNumberFormat="1" applyFont="1" applyFill="1" applyBorder="1" applyAlignment="1">
      <alignment horizontal="center" vertical="center" wrapText="1"/>
    </xf>
    <xf numFmtId="2" fontId="8" fillId="0" borderId="0" xfId="0" applyNumberFormat="1" applyFont="1" applyAlignment="1">
      <alignment vertical="center" wrapText="1"/>
    </xf>
    <xf numFmtId="0" fontId="3" fillId="6" borderId="13" xfId="0" applyFont="1" applyFill="1" applyBorder="1" applyAlignment="1">
      <alignment vertical="center" wrapText="1"/>
    </xf>
    <xf numFmtId="0" fontId="3" fillId="6" borderId="14" xfId="0" applyFont="1" applyFill="1" applyBorder="1" applyAlignment="1">
      <alignment vertical="center" wrapText="1"/>
    </xf>
    <xf numFmtId="2" fontId="3" fillId="7" borderId="11" xfId="2" applyNumberFormat="1" applyFont="1" applyFill="1" applyBorder="1" applyAlignment="1">
      <alignment vertical="center" wrapText="1"/>
    </xf>
    <xf numFmtId="0" fontId="3" fillId="6" borderId="16" xfId="0" applyFont="1" applyFill="1" applyBorder="1" applyAlignment="1">
      <alignment vertical="center" wrapText="1"/>
    </xf>
    <xf numFmtId="2" fontId="8" fillId="0" borderId="11" xfId="0" applyNumberFormat="1" applyFont="1" applyBorder="1" applyAlignment="1">
      <alignment vertical="center" wrapText="1"/>
    </xf>
    <xf numFmtId="44" fontId="0" fillId="0" borderId="0" xfId="0" applyNumberFormat="1"/>
    <xf numFmtId="1" fontId="0" fillId="0" borderId="0" xfId="0" applyNumberFormat="1"/>
    <xf numFmtId="0" fontId="3" fillId="10" borderId="11" xfId="0" applyFont="1" applyFill="1" applyBorder="1" applyAlignment="1">
      <alignment horizontal="center" vertical="center" wrapText="1"/>
    </xf>
    <xf numFmtId="0" fontId="3" fillId="6" borderId="13" xfId="0" applyFont="1" applyFill="1" applyBorder="1" applyAlignment="1">
      <alignment horizontal="left" vertical="center" wrapText="1"/>
    </xf>
    <xf numFmtId="2" fontId="3" fillId="4" borderId="18" xfId="3" applyNumberFormat="1" applyFont="1" applyFill="1" applyBorder="1" applyAlignment="1">
      <alignment horizontal="center" vertical="center" wrapText="1"/>
    </xf>
    <xf numFmtId="44" fontId="3" fillId="4" borderId="18" xfId="1" applyFont="1" applyFill="1" applyBorder="1" applyAlignment="1">
      <alignment horizontal="center" vertical="center" wrapText="1"/>
    </xf>
    <xf numFmtId="0" fontId="3" fillId="4" borderId="18" xfId="3" applyFont="1" applyFill="1" applyBorder="1" applyAlignment="1">
      <alignment horizontal="center" vertical="center" wrapText="1"/>
    </xf>
    <xf numFmtId="44" fontId="8" fillId="0" borderId="21" xfId="1" applyFont="1" applyFill="1" applyBorder="1" applyAlignment="1">
      <alignment horizontal="center" vertical="center" wrapText="1"/>
    </xf>
    <xf numFmtId="1" fontId="12" fillId="11" borderId="21" xfId="4" applyNumberFormat="1" applyFont="1" applyFill="1" applyBorder="1"/>
    <xf numFmtId="44" fontId="3" fillId="11" borderId="21" xfId="1" applyFont="1" applyFill="1" applyBorder="1"/>
    <xf numFmtId="44" fontId="4" fillId="12" borderId="11" xfId="1" applyFont="1" applyFill="1" applyBorder="1" applyAlignment="1">
      <alignment horizontal="left" wrapText="1"/>
    </xf>
    <xf numFmtId="2" fontId="4" fillId="12" borderId="21" xfId="4" applyNumberFormat="1" applyFont="1" applyFill="1" applyBorder="1" applyAlignment="1">
      <alignment horizontal="left"/>
    </xf>
    <xf numFmtId="0" fontId="4" fillId="12" borderId="21" xfId="4" applyFont="1" applyFill="1" applyBorder="1" applyAlignment="1">
      <alignment horizontal="left" indent="1"/>
    </xf>
    <xf numFmtId="2" fontId="8" fillId="12" borderId="21" xfId="4" applyNumberFormat="1" applyFont="1" applyFill="1" applyBorder="1"/>
    <xf numFmtId="0" fontId="4" fillId="0" borderId="11" xfId="4" applyFont="1" applyBorder="1" applyAlignment="1">
      <alignment horizontal="left"/>
    </xf>
    <xf numFmtId="49" fontId="10" fillId="0" borderId="11" xfId="5" applyNumberFormat="1" applyFont="1" applyBorder="1" applyAlignment="1">
      <alignment vertical="center" wrapText="1"/>
    </xf>
    <xf numFmtId="2" fontId="8" fillId="0" borderId="11" xfId="4" applyNumberFormat="1" applyFont="1" applyBorder="1"/>
    <xf numFmtId="44" fontId="8" fillId="0" borderId="11" xfId="1" applyFont="1" applyFill="1" applyBorder="1"/>
    <xf numFmtId="2" fontId="4" fillId="12" borderId="20" xfId="4" applyNumberFormat="1" applyFont="1" applyFill="1" applyBorder="1" applyAlignment="1">
      <alignment horizontal="left"/>
    </xf>
    <xf numFmtId="0" fontId="4" fillId="12" borderId="20" xfId="4" applyFont="1" applyFill="1" applyBorder="1" applyAlignment="1">
      <alignment horizontal="left" indent="1"/>
    </xf>
    <xf numFmtId="0" fontId="4" fillId="0" borderId="19" xfId="4" applyFont="1" applyBorder="1" applyAlignment="1">
      <alignment horizontal="left"/>
    </xf>
    <xf numFmtId="49" fontId="10" fillId="0" borderId="19" xfId="5" applyNumberFormat="1" applyFont="1" applyBorder="1" applyAlignment="1">
      <alignment vertical="center" wrapText="1"/>
    </xf>
    <xf numFmtId="2" fontId="8" fillId="0" borderId="19" xfId="4" applyNumberFormat="1" applyFont="1" applyBorder="1"/>
    <xf numFmtId="0" fontId="3" fillId="11" borderId="21" xfId="4" applyFont="1" applyFill="1" applyBorder="1"/>
    <xf numFmtId="2" fontId="3" fillId="11" borderId="21" xfId="4" applyNumberFormat="1" applyFont="1" applyFill="1" applyBorder="1"/>
    <xf numFmtId="2" fontId="4" fillId="12" borderId="21" xfId="4" applyNumberFormat="1" applyFont="1" applyFill="1" applyBorder="1"/>
    <xf numFmtId="1" fontId="4" fillId="0" borderId="11" xfId="4" applyNumberFormat="1" applyFont="1" applyBorder="1"/>
    <xf numFmtId="1" fontId="12" fillId="11" borderId="20" xfId="4" applyNumberFormat="1" applyFont="1" applyFill="1" applyBorder="1"/>
    <xf numFmtId="0" fontId="3" fillId="11" borderId="20" xfId="4" applyFont="1" applyFill="1" applyBorder="1"/>
    <xf numFmtId="0" fontId="3" fillId="6" borderId="23" xfId="0" applyFont="1" applyFill="1" applyBorder="1" applyAlignment="1">
      <alignment vertical="center" wrapText="1"/>
    </xf>
    <xf numFmtId="2" fontId="3" fillId="6" borderId="24" xfId="0" applyNumberFormat="1" applyFont="1" applyFill="1" applyBorder="1" applyAlignment="1">
      <alignment vertical="center" wrapText="1"/>
    </xf>
    <xf numFmtId="2" fontId="3" fillId="6" borderId="3" xfId="0" applyNumberFormat="1" applyFont="1" applyFill="1" applyBorder="1" applyAlignment="1">
      <alignment vertical="center" wrapText="1"/>
    </xf>
    <xf numFmtId="44" fontId="3" fillId="6" borderId="26" xfId="1" applyFont="1" applyFill="1" applyBorder="1" applyAlignment="1">
      <alignment vertical="center" wrapText="1"/>
    </xf>
    <xf numFmtId="0" fontId="14" fillId="0" borderId="0" xfId="0" applyFont="1"/>
    <xf numFmtId="0" fontId="14" fillId="15" borderId="0" xfId="0" applyFont="1" applyFill="1"/>
    <xf numFmtId="0" fontId="15" fillId="15" borderId="1" xfId="0" applyFont="1" applyFill="1" applyBorder="1" applyAlignment="1">
      <alignment horizontal="left" indent="2"/>
    </xf>
    <xf numFmtId="0" fontId="15" fillId="15" borderId="0" xfId="0" applyFont="1" applyFill="1" applyAlignment="1">
      <alignment wrapText="1"/>
    </xf>
    <xf numFmtId="0" fontId="15" fillId="15" borderId="0" xfId="0" applyFont="1" applyFill="1"/>
    <xf numFmtId="0" fontId="5" fillId="15" borderId="1" xfId="0" applyFont="1" applyFill="1" applyBorder="1" applyAlignment="1">
      <alignment horizontal="left" vertical="center" indent="2"/>
    </xf>
    <xf numFmtId="0" fontId="5" fillId="15" borderId="0" xfId="0" applyFont="1" applyFill="1" applyAlignment="1">
      <alignment vertical="center"/>
    </xf>
    <xf numFmtId="0" fontId="5" fillId="15" borderId="0" xfId="0" applyFont="1" applyFill="1" applyAlignment="1">
      <alignment horizontal="left" vertical="center" wrapText="1"/>
    </xf>
    <xf numFmtId="0" fontId="16" fillId="15" borderId="0" xfId="0" applyFont="1" applyFill="1" applyAlignment="1">
      <alignment horizontal="left" vertical="center"/>
    </xf>
    <xf numFmtId="14" fontId="5" fillId="15" borderId="0" xfId="0" applyNumberFormat="1" applyFont="1" applyFill="1" applyAlignment="1">
      <alignment horizontal="left" vertical="center" wrapText="1"/>
    </xf>
    <xf numFmtId="0" fontId="15" fillId="15" borderId="6" xfId="0" applyFont="1" applyFill="1" applyBorder="1" applyAlignment="1">
      <alignment horizontal="left" indent="2"/>
    </xf>
    <xf numFmtId="0" fontId="15" fillId="15" borderId="7" xfId="0" applyFont="1" applyFill="1" applyBorder="1" applyAlignment="1">
      <alignment wrapText="1"/>
    </xf>
    <xf numFmtId="0" fontId="15" fillId="15" borderId="7" xfId="0" applyFont="1" applyFill="1" applyBorder="1"/>
    <xf numFmtId="0" fontId="13" fillId="16" borderId="28" xfId="0" applyFont="1" applyFill="1" applyBorder="1" applyAlignment="1">
      <alignment horizontal="center" vertical="center" wrapText="1"/>
    </xf>
    <xf numFmtId="0" fontId="13" fillId="16" borderId="29" xfId="0" applyFont="1" applyFill="1" applyBorder="1" applyAlignment="1">
      <alignment horizontal="center" vertical="center" wrapText="1"/>
    </xf>
    <xf numFmtId="0" fontId="13" fillId="17" borderId="14" xfId="0" applyFont="1" applyFill="1" applyBorder="1" applyAlignment="1">
      <alignment vertical="center" wrapText="1"/>
    </xf>
    <xf numFmtId="0" fontId="13" fillId="17" borderId="24" xfId="0" applyFont="1" applyFill="1" applyBorder="1" applyAlignment="1">
      <alignment vertical="center" wrapText="1"/>
    </xf>
    <xf numFmtId="9" fontId="13" fillId="18" borderId="3" xfId="0" applyNumberFormat="1" applyFont="1" applyFill="1" applyBorder="1" applyAlignment="1">
      <alignment vertical="center" wrapText="1"/>
    </xf>
    <xf numFmtId="8" fontId="13" fillId="17" borderId="24" xfId="0" applyNumberFormat="1" applyFont="1" applyFill="1" applyBorder="1" applyAlignment="1">
      <alignment vertical="center" wrapText="1"/>
    </xf>
    <xf numFmtId="0" fontId="17" fillId="15" borderId="30" xfId="0" applyFont="1" applyFill="1" applyBorder="1"/>
    <xf numFmtId="0" fontId="13" fillId="17" borderId="16" xfId="0" applyFont="1" applyFill="1" applyBorder="1" applyAlignment="1">
      <alignment vertical="center" wrapText="1"/>
    </xf>
    <xf numFmtId="0" fontId="13" fillId="17" borderId="3" xfId="0" applyFont="1" applyFill="1" applyBorder="1" applyAlignment="1">
      <alignment vertical="center" wrapText="1"/>
    </xf>
    <xf numFmtId="8" fontId="18" fillId="15" borderId="20" xfId="0" applyNumberFormat="1" applyFont="1" applyFill="1" applyBorder="1"/>
    <xf numFmtId="0" fontId="18" fillId="15" borderId="20" xfId="0" applyFont="1" applyFill="1" applyBorder="1"/>
    <xf numFmtId="9" fontId="13" fillId="17" borderId="3" xfId="0" applyNumberFormat="1" applyFont="1" applyFill="1" applyBorder="1" applyAlignment="1">
      <alignment vertical="center" wrapText="1"/>
    </xf>
    <xf numFmtId="0" fontId="17" fillId="15" borderId="20" xfId="0" applyFont="1" applyFill="1" applyBorder="1"/>
    <xf numFmtId="0" fontId="5" fillId="15" borderId="14" xfId="0" applyFont="1" applyFill="1" applyBorder="1"/>
    <xf numFmtId="3" fontId="19" fillId="15" borderId="30" xfId="0" applyNumberFormat="1" applyFont="1" applyFill="1" applyBorder="1"/>
    <xf numFmtId="8" fontId="18" fillId="15" borderId="30" xfId="0" applyNumberFormat="1" applyFont="1" applyFill="1" applyBorder="1"/>
    <xf numFmtId="0" fontId="18" fillId="15" borderId="30" xfId="0" applyFont="1" applyFill="1" applyBorder="1"/>
    <xf numFmtId="0" fontId="20" fillId="15" borderId="31" xfId="0" applyFont="1" applyFill="1" applyBorder="1" applyAlignment="1">
      <alignment horizontal="left" indent="1"/>
    </xf>
    <xf numFmtId="0" fontId="19" fillId="15" borderId="20" xfId="0" applyFont="1" applyFill="1" applyBorder="1"/>
    <xf numFmtId="3" fontId="21" fillId="15" borderId="20" xfId="0" applyNumberFormat="1" applyFont="1" applyFill="1" applyBorder="1"/>
    <xf numFmtId="8" fontId="17" fillId="15" borderId="20" xfId="0" applyNumberFormat="1" applyFont="1" applyFill="1" applyBorder="1"/>
    <xf numFmtId="0" fontId="21" fillId="15" borderId="20" xfId="0" applyFont="1" applyFill="1" applyBorder="1"/>
    <xf numFmtId="0" fontId="20" fillId="15" borderId="13" xfId="0" applyFont="1" applyFill="1" applyBorder="1" applyAlignment="1">
      <alignment horizontal="left" indent="1"/>
    </xf>
    <xf numFmtId="0" fontId="5" fillId="15" borderId="13" xfId="0" applyFont="1" applyFill="1" applyBorder="1"/>
    <xf numFmtId="3" fontId="19" fillId="15" borderId="20" xfId="0" applyNumberFormat="1" applyFont="1" applyFill="1" applyBorder="1"/>
    <xf numFmtId="8" fontId="17" fillId="15" borderId="30" xfId="0" applyNumberFormat="1" applyFont="1" applyFill="1" applyBorder="1"/>
    <xf numFmtId="8" fontId="13" fillId="18" borderId="32" xfId="0" applyNumberFormat="1" applyFont="1" applyFill="1" applyBorder="1" applyAlignment="1">
      <alignment vertical="center" wrapText="1"/>
    </xf>
    <xf numFmtId="0" fontId="13" fillId="18" borderId="32" xfId="0" applyFont="1" applyFill="1" applyBorder="1" applyAlignment="1">
      <alignment vertical="center" wrapText="1"/>
    </xf>
    <xf numFmtId="0" fontId="13" fillId="17" borderId="25" xfId="0" applyFont="1" applyFill="1" applyBorder="1" applyAlignment="1">
      <alignment vertical="center" wrapText="1"/>
    </xf>
    <xf numFmtId="8" fontId="13" fillId="17" borderId="26" xfId="0" applyNumberFormat="1" applyFont="1" applyFill="1" applyBorder="1" applyAlignment="1">
      <alignment vertical="center" wrapText="1"/>
    </xf>
    <xf numFmtId="0" fontId="13" fillId="17" borderId="26" xfId="0" applyFont="1" applyFill="1" applyBorder="1" applyAlignment="1">
      <alignment vertical="center" wrapText="1"/>
    </xf>
    <xf numFmtId="0" fontId="17" fillId="15" borderId="33" xfId="0" applyFont="1" applyFill="1" applyBorder="1"/>
    <xf numFmtId="9" fontId="0" fillId="0" borderId="0" xfId="2" applyFont="1"/>
    <xf numFmtId="0" fontId="0" fillId="0" borderId="11" xfId="0" applyBorder="1"/>
    <xf numFmtId="0" fontId="3" fillId="19" borderId="11" xfId="0" applyFont="1" applyFill="1" applyBorder="1" applyAlignment="1">
      <alignment horizontal="center" vertical="center" wrapText="1"/>
    </xf>
    <xf numFmtId="0" fontId="8" fillId="20" borderId="11" xfId="0" applyFont="1" applyFill="1" applyBorder="1" applyAlignment="1">
      <alignment vertical="center" wrapText="1"/>
    </xf>
    <xf numFmtId="1" fontId="8" fillId="0" borderId="11" xfId="4" applyNumberFormat="1" applyFont="1" applyBorder="1"/>
    <xf numFmtId="1" fontId="0" fillId="0" borderId="11" xfId="0" applyNumberFormat="1" applyBorder="1"/>
    <xf numFmtId="0" fontId="4" fillId="0" borderId="20" xfId="4" applyFont="1" applyBorder="1" applyAlignment="1">
      <alignment horizontal="left"/>
    </xf>
    <xf numFmtId="49" fontId="10" fillId="0" borderId="21" xfId="5" applyNumberFormat="1" applyFont="1" applyBorder="1" applyAlignment="1">
      <alignment vertical="center" wrapText="1"/>
    </xf>
    <xf numFmtId="2" fontId="8" fillId="0" borderId="20" xfId="4" applyNumberFormat="1" applyFont="1" applyBorder="1"/>
    <xf numFmtId="44" fontId="3" fillId="4" borderId="18" xfId="6" applyFont="1" applyFill="1" applyBorder="1" applyAlignment="1">
      <alignment horizontal="center" vertical="center" wrapText="1"/>
    </xf>
    <xf numFmtId="44" fontId="3" fillId="4" borderId="11" xfId="6" applyFont="1" applyFill="1" applyBorder="1" applyAlignment="1">
      <alignment horizontal="center" vertical="center" wrapText="1"/>
    </xf>
    <xf numFmtId="44" fontId="3" fillId="11" borderId="21" xfId="6" applyFont="1" applyFill="1" applyBorder="1"/>
    <xf numFmtId="44" fontId="8" fillId="12" borderId="21" xfId="6" applyFont="1" applyFill="1" applyBorder="1"/>
    <xf numFmtId="44" fontId="8" fillId="0" borderId="11" xfId="6" applyFont="1" applyFill="1" applyBorder="1"/>
    <xf numFmtId="1" fontId="8" fillId="0" borderId="11" xfId="6" applyNumberFormat="1" applyFont="1" applyFill="1" applyBorder="1"/>
    <xf numFmtId="44" fontId="8" fillId="0" borderId="19" xfId="6" applyFont="1" applyFill="1" applyBorder="1"/>
    <xf numFmtId="0" fontId="4" fillId="0" borderId="21" xfId="4" applyFont="1" applyBorder="1" applyAlignment="1">
      <alignment horizontal="left"/>
    </xf>
    <xf numFmtId="2" fontId="8" fillId="0" borderId="21" xfId="4" applyNumberFormat="1" applyFont="1" applyBorder="1"/>
    <xf numFmtId="44" fontId="8" fillId="0" borderId="21" xfId="6" applyFont="1" applyFill="1" applyBorder="1"/>
    <xf numFmtId="44" fontId="8" fillId="0" borderId="20" xfId="6" applyFont="1" applyFill="1" applyBorder="1"/>
    <xf numFmtId="44" fontId="0" fillId="0" borderId="11" xfId="6" applyFont="1" applyBorder="1"/>
    <xf numFmtId="44" fontId="0" fillId="0" borderId="11" xfId="6" applyFont="1" applyBorder="1" applyAlignment="1">
      <alignment horizontal="right"/>
    </xf>
    <xf numFmtId="2" fontId="0" fillId="0" borderId="11" xfId="0" applyNumberFormat="1" applyBorder="1" applyAlignment="1">
      <alignment horizontal="right"/>
    </xf>
    <xf numFmtId="43" fontId="0" fillId="0" borderId="11" xfId="0" applyNumberFormat="1" applyBorder="1" applyAlignment="1">
      <alignment horizontal="right"/>
    </xf>
    <xf numFmtId="44" fontId="0" fillId="0" borderId="11" xfId="0" applyNumberFormat="1" applyBorder="1"/>
    <xf numFmtId="166" fontId="0" fillId="0" borderId="0" xfId="0" applyNumberFormat="1"/>
    <xf numFmtId="44" fontId="0" fillId="21" borderId="0" xfId="0" applyNumberFormat="1" applyFill="1"/>
    <xf numFmtId="44" fontId="4" fillId="0" borderId="11" xfId="1" applyFont="1" applyBorder="1" applyAlignment="1">
      <alignment horizontal="left"/>
    </xf>
    <xf numFmtId="44" fontId="10" fillId="0" borderId="11" xfId="1" applyFont="1" applyBorder="1" applyAlignment="1">
      <alignment vertical="center" wrapText="1"/>
    </xf>
    <xf numFmtId="44" fontId="8" fillId="0" borderId="11" xfId="1" applyFont="1" applyBorder="1"/>
    <xf numFmtId="0" fontId="4" fillId="13" borderId="20" xfId="4" applyFont="1" applyFill="1" applyBorder="1" applyAlignment="1">
      <alignment horizontal="left"/>
    </xf>
    <xf numFmtId="0" fontId="4" fillId="13" borderId="21" xfId="4" applyFont="1" applyFill="1" applyBorder="1" applyAlignment="1">
      <alignment horizontal="left" indent="1"/>
    </xf>
    <xf numFmtId="2" fontId="8" fillId="13" borderId="20" xfId="4" applyNumberFormat="1" applyFont="1" applyFill="1" applyBorder="1"/>
    <xf numFmtId="44" fontId="8" fillId="13" borderId="20" xfId="6" applyFont="1" applyFill="1" applyBorder="1"/>
    <xf numFmtId="44" fontId="8" fillId="13" borderId="21" xfId="6" applyFont="1" applyFill="1" applyBorder="1"/>
    <xf numFmtId="1" fontId="3" fillId="11" borderId="21" xfId="6" applyNumberFormat="1" applyFont="1" applyFill="1" applyBorder="1"/>
    <xf numFmtId="1" fontId="8" fillId="12" borderId="21" xfId="6" applyNumberFormat="1" applyFont="1" applyFill="1" applyBorder="1"/>
    <xf numFmtId="8" fontId="0" fillId="0" borderId="11" xfId="0" applyNumberFormat="1" applyBorder="1"/>
    <xf numFmtId="10" fontId="0" fillId="0" borderId="11" xfId="2" applyNumberFormat="1" applyFont="1" applyBorder="1"/>
    <xf numFmtId="164" fontId="0" fillId="0" borderId="0" xfId="1" applyNumberFormat="1" applyFont="1"/>
    <xf numFmtId="44" fontId="4" fillId="12" borderId="21" xfId="1" applyFont="1" applyFill="1" applyBorder="1" applyAlignment="1">
      <alignment horizontal="left" indent="1"/>
    </xf>
    <xf numFmtId="44" fontId="8" fillId="0" borderId="11" xfId="1" applyFont="1" applyFill="1" applyBorder="1" applyAlignment="1">
      <alignment horizontal="center" vertical="center" wrapText="1"/>
    </xf>
    <xf numFmtId="1" fontId="4" fillId="0" borderId="0" xfId="4" applyNumberFormat="1" applyFont="1"/>
    <xf numFmtId="2" fontId="8" fillId="0" borderId="0" xfId="4" applyNumberFormat="1" applyFont="1"/>
    <xf numFmtId="44" fontId="8" fillId="0" borderId="0" xfId="1" applyFont="1" applyFill="1" applyBorder="1"/>
    <xf numFmtId="9" fontId="4" fillId="0" borderId="0" xfId="2" applyFont="1" applyFill="1" applyBorder="1" applyAlignment="1">
      <alignment horizontal="left" wrapText="1"/>
    </xf>
    <xf numFmtId="9" fontId="4" fillId="0" borderId="0" xfId="2" applyFont="1" applyBorder="1" applyAlignment="1">
      <alignment horizontal="left" wrapText="1"/>
    </xf>
    <xf numFmtId="1" fontId="4" fillId="3" borderId="3" xfId="0" applyNumberFormat="1" applyFont="1" applyFill="1" applyBorder="1"/>
    <xf numFmtId="1" fontId="5" fillId="3" borderId="0" xfId="0" applyNumberFormat="1" applyFont="1" applyFill="1" applyAlignment="1">
      <alignment vertical="center"/>
    </xf>
    <xf numFmtId="1" fontId="4" fillId="3" borderId="0" xfId="0" applyNumberFormat="1" applyFont="1" applyFill="1"/>
    <xf numFmtId="1" fontId="4" fillId="3" borderId="7" xfId="0" applyNumberFormat="1" applyFont="1" applyFill="1" applyBorder="1"/>
    <xf numFmtId="1" fontId="3" fillId="4" borderId="9" xfId="1" applyNumberFormat="1" applyFont="1" applyFill="1" applyBorder="1" applyAlignment="1">
      <alignment horizontal="center" vertical="center" wrapText="1"/>
    </xf>
    <xf numFmtId="1" fontId="8" fillId="0" borderId="0" xfId="1" applyNumberFormat="1" applyFont="1" applyAlignment="1">
      <alignment vertical="center" wrapText="1"/>
    </xf>
    <xf numFmtId="1" fontId="3" fillId="6" borderId="13" xfId="0" applyNumberFormat="1" applyFont="1" applyFill="1" applyBorder="1" applyAlignment="1">
      <alignment vertical="center" wrapText="1"/>
    </xf>
    <xf numFmtId="1" fontId="3" fillId="7" borderId="15" xfId="1" applyNumberFormat="1" applyFont="1" applyFill="1" applyBorder="1" applyAlignment="1">
      <alignment vertical="center" wrapText="1"/>
    </xf>
    <xf numFmtId="1" fontId="8" fillId="0" borderId="15" xfId="1" applyNumberFormat="1" applyFont="1" applyBorder="1" applyAlignment="1">
      <alignment vertical="center" wrapText="1"/>
    </xf>
    <xf numFmtId="1" fontId="8" fillId="0" borderId="15" xfId="2" applyNumberFormat="1" applyFont="1" applyFill="1" applyBorder="1" applyAlignment="1">
      <alignment vertical="center" wrapText="1"/>
    </xf>
    <xf numFmtId="1" fontId="8" fillId="0" borderId="0" xfId="4" applyNumberFormat="1" applyFont="1"/>
    <xf numFmtId="1" fontId="3" fillId="11" borderId="20" xfId="4" applyNumberFormat="1" applyFont="1" applyFill="1" applyBorder="1"/>
    <xf numFmtId="1" fontId="3" fillId="6" borderId="23" xfId="0" applyNumberFormat="1" applyFont="1" applyFill="1" applyBorder="1" applyAlignment="1">
      <alignment vertical="center" wrapText="1"/>
    </xf>
    <xf numFmtId="1" fontId="3" fillId="6" borderId="24" xfId="0" applyNumberFormat="1" applyFont="1" applyFill="1" applyBorder="1" applyAlignment="1">
      <alignment vertical="center" wrapText="1"/>
    </xf>
    <xf numFmtId="1" fontId="3" fillId="6" borderId="3" xfId="0" applyNumberFormat="1" applyFont="1" applyFill="1" applyBorder="1" applyAlignment="1">
      <alignment vertical="center" wrapText="1"/>
    </xf>
    <xf numFmtId="1" fontId="3" fillId="6" borderId="26" xfId="1" applyNumberFormat="1" applyFont="1" applyFill="1" applyBorder="1" applyAlignment="1">
      <alignment vertical="center" wrapText="1"/>
    </xf>
    <xf numFmtId="8" fontId="3" fillId="11" borderId="20" xfId="2" applyNumberFormat="1" applyFont="1" applyFill="1" applyBorder="1"/>
    <xf numFmtId="0" fontId="3" fillId="5" borderId="15" xfId="0" applyFont="1" applyFill="1" applyBorder="1" applyAlignment="1">
      <alignment vertical="center" wrapText="1"/>
    </xf>
    <xf numFmtId="44" fontId="3" fillId="11" borderId="2" xfId="6" applyFont="1" applyFill="1" applyBorder="1"/>
    <xf numFmtId="1" fontId="3" fillId="4" borderId="13" xfId="3" applyNumberFormat="1" applyFont="1" applyFill="1" applyBorder="1" applyAlignment="1">
      <alignment horizontal="center" vertical="center" wrapText="1"/>
    </xf>
    <xf numFmtId="0" fontId="3" fillId="4" borderId="39" xfId="3" applyFont="1" applyFill="1" applyBorder="1" applyAlignment="1">
      <alignment horizontal="center" vertical="center" wrapText="1"/>
    </xf>
    <xf numFmtId="1" fontId="3" fillId="11" borderId="40" xfId="6" applyNumberFormat="1" applyFont="1" applyFill="1" applyBorder="1"/>
    <xf numFmtId="44" fontId="3" fillId="11" borderId="41" xfId="6" applyFont="1" applyFill="1" applyBorder="1"/>
    <xf numFmtId="44" fontId="4" fillId="12" borderId="2" xfId="1" applyFont="1" applyFill="1" applyBorder="1"/>
    <xf numFmtId="1" fontId="4" fillId="12" borderId="40" xfId="6" applyNumberFormat="1" applyFont="1" applyFill="1" applyBorder="1"/>
    <xf numFmtId="44" fontId="4" fillId="12" borderId="21" xfId="6" applyFont="1" applyFill="1" applyBorder="1"/>
    <xf numFmtId="44" fontId="4" fillId="12" borderId="41" xfId="6" applyFont="1" applyFill="1" applyBorder="1"/>
    <xf numFmtId="1" fontId="4" fillId="0" borderId="10" xfId="6" applyNumberFormat="1" applyFont="1" applyFill="1" applyBorder="1"/>
    <xf numFmtId="44" fontId="4" fillId="0" borderId="11" xfId="6" applyFont="1" applyFill="1" applyBorder="1"/>
    <xf numFmtId="44" fontId="4" fillId="0" borderId="12" xfId="6" applyFont="1" applyFill="1" applyBorder="1"/>
    <xf numFmtId="1" fontId="4" fillId="12" borderId="10" xfId="6" applyNumberFormat="1" applyFont="1" applyFill="1" applyBorder="1"/>
    <xf numFmtId="44" fontId="4" fillId="12" borderId="11" xfId="6" applyFont="1" applyFill="1" applyBorder="1"/>
    <xf numFmtId="44" fontId="4" fillId="12" borderId="12" xfId="6" applyFont="1" applyFill="1" applyBorder="1"/>
    <xf numFmtId="44" fontId="4" fillId="12" borderId="2" xfId="6" applyFont="1" applyFill="1" applyBorder="1"/>
    <xf numFmtId="44" fontId="4" fillId="13" borderId="2" xfId="6" applyFont="1" applyFill="1" applyBorder="1"/>
    <xf numFmtId="1" fontId="4" fillId="13" borderId="40" xfId="6" applyNumberFormat="1" applyFont="1" applyFill="1" applyBorder="1"/>
    <xf numFmtId="44" fontId="4" fillId="13" borderId="21" xfId="6" applyFont="1" applyFill="1" applyBorder="1"/>
    <xf numFmtId="44" fontId="4" fillId="13" borderId="41" xfId="6" applyFont="1" applyFill="1" applyBorder="1"/>
    <xf numFmtId="1" fontId="4" fillId="0" borderId="42" xfId="6" applyNumberFormat="1" applyFont="1" applyFill="1" applyBorder="1"/>
    <xf numFmtId="44" fontId="4" fillId="0" borderId="44" xfId="6" applyFont="1" applyFill="1" applyBorder="1"/>
    <xf numFmtId="44" fontId="4" fillId="12" borderId="46" xfId="6" applyFont="1" applyFill="1" applyBorder="1"/>
    <xf numFmtId="44" fontId="4" fillId="0" borderId="47" xfId="1" applyFont="1" applyFill="1" applyBorder="1"/>
    <xf numFmtId="44" fontId="4" fillId="12" borderId="47" xfId="6" applyFont="1" applyFill="1" applyBorder="1"/>
    <xf numFmtId="44" fontId="4" fillId="13" borderId="46" xfId="6" applyFont="1" applyFill="1" applyBorder="1"/>
    <xf numFmtId="44" fontId="8" fillId="11" borderId="46" xfId="6" applyFont="1" applyFill="1" applyBorder="1"/>
    <xf numFmtId="0" fontId="3" fillId="22" borderId="45" xfId="0" applyFont="1" applyFill="1" applyBorder="1" applyAlignment="1">
      <alignment horizontal="center" vertical="center" wrapText="1"/>
    </xf>
    <xf numFmtId="0" fontId="24" fillId="23" borderId="48" xfId="0" applyFont="1" applyFill="1" applyBorder="1" applyAlignment="1">
      <alignment readingOrder="1"/>
    </xf>
    <xf numFmtId="0" fontId="24" fillId="23" borderId="49" xfId="0" applyFont="1" applyFill="1" applyBorder="1" applyAlignment="1">
      <alignment readingOrder="1"/>
    </xf>
    <xf numFmtId="4" fontId="25" fillId="24" borderId="49" xfId="0" applyNumberFormat="1" applyFont="1" applyFill="1" applyBorder="1" applyAlignment="1">
      <alignment readingOrder="1"/>
    </xf>
    <xf numFmtId="4" fontId="25" fillId="24" borderId="49" xfId="0" applyNumberFormat="1" applyFont="1" applyFill="1" applyBorder="1" applyAlignment="1">
      <alignment horizontal="center" readingOrder="1"/>
    </xf>
    <xf numFmtId="4" fontId="3" fillId="6" borderId="11" xfId="1" applyNumberFormat="1" applyFont="1" applyFill="1" applyBorder="1" applyAlignment="1">
      <alignment horizontal="center" vertical="center" wrapText="1"/>
    </xf>
    <xf numFmtId="4" fontId="3" fillId="6" borderId="11" xfId="0" applyNumberFormat="1" applyFont="1" applyFill="1" applyBorder="1" applyAlignment="1">
      <alignment horizontal="center" vertical="center" wrapText="1"/>
    </xf>
    <xf numFmtId="0" fontId="26" fillId="0" borderId="17" xfId="0" applyFont="1" applyBorder="1"/>
    <xf numFmtId="0" fontId="26" fillId="0" borderId="50" xfId="0" applyFont="1" applyBorder="1"/>
    <xf numFmtId="0" fontId="26" fillId="0" borderId="51" xfId="0" applyFont="1" applyBorder="1"/>
    <xf numFmtId="0" fontId="9" fillId="0" borderId="53" xfId="0" applyFont="1" applyBorder="1"/>
    <xf numFmtId="44" fontId="4" fillId="0" borderId="0" xfId="1" applyFont="1"/>
    <xf numFmtId="0" fontId="4" fillId="0" borderId="0" xfId="0" applyFont="1"/>
    <xf numFmtId="0" fontId="4" fillId="0" borderId="0" xfId="0" applyFont="1" applyAlignment="1">
      <alignment horizontal="left" wrapText="1"/>
    </xf>
    <xf numFmtId="2" fontId="4" fillId="0" borderId="0" xfId="0" applyNumberFormat="1" applyFont="1"/>
    <xf numFmtId="1" fontId="4" fillId="0" borderId="0" xfId="0" applyNumberFormat="1" applyFont="1"/>
    <xf numFmtId="0" fontId="4" fillId="0" borderId="0" xfId="0" applyFont="1" applyAlignment="1">
      <alignment horizontal="center"/>
    </xf>
    <xf numFmtId="44" fontId="4" fillId="0" borderId="0" xfId="1" applyFont="1" applyAlignment="1">
      <alignment horizontal="center"/>
    </xf>
    <xf numFmtId="44" fontId="4" fillId="0" borderId="0" xfId="0" applyNumberFormat="1" applyFont="1"/>
    <xf numFmtId="0" fontId="4" fillId="0" borderId="0" xfId="0" applyFont="1" applyAlignment="1">
      <alignment horizontal="left"/>
    </xf>
    <xf numFmtId="49" fontId="4" fillId="0" borderId="11" xfId="5" applyNumberFormat="1" applyFont="1" applyBorder="1" applyAlignment="1">
      <alignment vertical="center" wrapText="1"/>
    </xf>
    <xf numFmtId="49" fontId="4" fillId="0" borderId="15" xfId="5" applyNumberFormat="1" applyFont="1" applyBorder="1" applyAlignment="1">
      <alignment vertical="center" wrapText="1"/>
    </xf>
    <xf numFmtId="44" fontId="4" fillId="0" borderId="11" xfId="1" applyFont="1" applyBorder="1" applyAlignment="1">
      <alignment vertical="center" wrapText="1"/>
    </xf>
    <xf numFmtId="44" fontId="4" fillId="0" borderId="15" xfId="1" applyFont="1" applyBorder="1" applyAlignment="1">
      <alignment vertical="center" wrapText="1"/>
    </xf>
    <xf numFmtId="49" fontId="4" fillId="0" borderId="19" xfId="5" applyNumberFormat="1" applyFont="1" applyBorder="1" applyAlignment="1">
      <alignment vertical="center" wrapText="1"/>
    </xf>
    <xf numFmtId="49" fontId="4" fillId="0" borderId="6" xfId="5" applyNumberFormat="1" applyFont="1" applyBorder="1" applyAlignment="1">
      <alignment vertical="center" wrapText="1"/>
    </xf>
    <xf numFmtId="49" fontId="4" fillId="0" borderId="21" xfId="5" applyNumberFormat="1" applyFont="1" applyBorder="1" applyAlignment="1">
      <alignment vertical="center" wrapText="1"/>
    </xf>
    <xf numFmtId="49" fontId="4" fillId="0" borderId="2" xfId="5" applyNumberFormat="1" applyFont="1" applyBorder="1" applyAlignment="1">
      <alignment vertical="center" wrapText="1"/>
    </xf>
    <xf numFmtId="49" fontId="4" fillId="0" borderId="0" xfId="5" applyNumberFormat="1" applyFont="1" applyAlignment="1">
      <alignment vertical="center" wrapText="1"/>
    </xf>
    <xf numFmtId="44" fontId="8" fillId="26" borderId="0" xfId="0" applyNumberFormat="1" applyFont="1" applyFill="1"/>
    <xf numFmtId="1" fontId="4" fillId="0" borderId="0" xfId="1" applyNumberFormat="1" applyFont="1" applyAlignment="1">
      <alignment horizontal="center"/>
    </xf>
    <xf numFmtId="44" fontId="8" fillId="3" borderId="15" xfId="1" applyFont="1" applyFill="1" applyBorder="1" applyAlignment="1">
      <alignment vertical="center" wrapText="1"/>
    </xf>
    <xf numFmtId="44" fontId="8" fillId="3" borderId="27" xfId="1" applyFont="1" applyFill="1" applyBorder="1" applyAlignment="1">
      <alignment vertical="center" wrapText="1"/>
    </xf>
    <xf numFmtId="44" fontId="8" fillId="3" borderId="35" xfId="1" applyFont="1" applyFill="1" applyBorder="1" applyAlignment="1">
      <alignment vertical="center" wrapText="1"/>
    </xf>
    <xf numFmtId="44" fontId="4" fillId="0" borderId="11" xfId="1" applyFont="1" applyFill="1" applyBorder="1"/>
    <xf numFmtId="0" fontId="4" fillId="3" borderId="4" xfId="0" applyFont="1" applyFill="1" applyBorder="1"/>
    <xf numFmtId="0" fontId="4" fillId="3" borderId="5" xfId="0" applyFont="1" applyFill="1" applyBorder="1"/>
    <xf numFmtId="0" fontId="5" fillId="3" borderId="5" xfId="0" applyFont="1" applyFill="1" applyBorder="1" applyAlignment="1">
      <alignment horizontal="left" vertical="center" wrapText="1"/>
    </xf>
    <xf numFmtId="14" fontId="5" fillId="3" borderId="0" xfId="1" applyNumberFormat="1" applyFont="1" applyFill="1" applyAlignment="1">
      <alignment horizontal="left" vertical="center" wrapText="1"/>
    </xf>
    <xf numFmtId="14" fontId="5" fillId="3" borderId="5" xfId="0" applyNumberFormat="1" applyFont="1" applyFill="1" applyBorder="1" applyAlignment="1">
      <alignment horizontal="left" vertical="center" wrapText="1"/>
    </xf>
    <xf numFmtId="0" fontId="4" fillId="3" borderId="8" xfId="0" applyFont="1" applyFill="1" applyBorder="1"/>
    <xf numFmtId="0" fontId="0" fillId="26" borderId="11" xfId="0" applyFill="1" applyBorder="1"/>
    <xf numFmtId="9" fontId="0" fillId="0" borderId="11" xfId="2" applyFont="1" applyBorder="1"/>
    <xf numFmtId="9" fontId="0" fillId="0" borderId="11" xfId="0" applyNumberFormat="1" applyBorder="1"/>
    <xf numFmtId="165" fontId="0" fillId="0" borderId="0" xfId="0" applyNumberFormat="1"/>
    <xf numFmtId="10" fontId="0" fillId="0" borderId="11" xfId="0" applyNumberFormat="1" applyBorder="1"/>
    <xf numFmtId="9" fontId="0" fillId="0" borderId="0" xfId="0" applyNumberFormat="1"/>
    <xf numFmtId="9" fontId="0" fillId="26" borderId="11" xfId="0" applyNumberFormat="1" applyFill="1" applyBorder="1"/>
    <xf numFmtId="1" fontId="3" fillId="11" borderId="41" xfId="6" applyNumberFormat="1" applyFont="1" applyFill="1" applyBorder="1"/>
    <xf numFmtId="1" fontId="4" fillId="12" borderId="41" xfId="6" applyNumberFormat="1" applyFont="1" applyFill="1" applyBorder="1"/>
    <xf numFmtId="1" fontId="4" fillId="13" borderId="41" xfId="6" applyNumberFormat="1" applyFont="1" applyFill="1" applyBorder="1"/>
    <xf numFmtId="1" fontId="4" fillId="0" borderId="12" xfId="6" applyNumberFormat="1" applyFont="1" applyFill="1" applyBorder="1"/>
    <xf numFmtId="44" fontId="4" fillId="0" borderId="0" xfId="0" applyNumberFormat="1" applyFont="1" applyAlignment="1">
      <alignment horizontal="center"/>
    </xf>
    <xf numFmtId="44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3" fillId="11" borderId="1" xfId="4" applyFont="1" applyFill="1" applyBorder="1"/>
    <xf numFmtId="44" fontId="8" fillId="0" borderId="35" xfId="1" applyFont="1" applyFill="1" applyBorder="1" applyAlignment="1">
      <alignment horizontal="center" vertical="center" wrapText="1"/>
    </xf>
    <xf numFmtId="44" fontId="8" fillId="0" borderId="10" xfId="1" applyFont="1" applyFill="1" applyBorder="1" applyAlignment="1">
      <alignment horizontal="center" vertical="center" wrapText="1"/>
    </xf>
    <xf numFmtId="44" fontId="4" fillId="0" borderId="12" xfId="1" applyFont="1" applyFill="1" applyBorder="1"/>
    <xf numFmtId="44" fontId="4" fillId="0" borderId="10" xfId="0" applyNumberFormat="1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44" fontId="4" fillId="0" borderId="42" xfId="0" applyNumberFormat="1" applyFont="1" applyBorder="1" applyAlignment="1">
      <alignment horizontal="center"/>
    </xf>
    <xf numFmtId="44" fontId="4" fillId="0" borderId="43" xfId="0" applyNumberFormat="1" applyFont="1" applyBorder="1" applyAlignment="1">
      <alignment horizontal="center"/>
    </xf>
    <xf numFmtId="44" fontId="8" fillId="28" borderId="0" xfId="0" applyNumberFormat="1" applyFont="1" applyFill="1"/>
    <xf numFmtId="44" fontId="4" fillId="0" borderId="21" xfId="1" applyFont="1" applyBorder="1" applyAlignment="1">
      <alignment horizontal="left"/>
    </xf>
    <xf numFmtId="44" fontId="10" fillId="0" borderId="21" xfId="1" applyFont="1" applyBorder="1" applyAlignment="1">
      <alignment vertical="center" wrapText="1"/>
    </xf>
    <xf numFmtId="44" fontId="8" fillId="0" borderId="21" xfId="1" applyFont="1" applyBorder="1"/>
    <xf numFmtId="44" fontId="8" fillId="0" borderId="21" xfId="1" applyFont="1" applyFill="1" applyBorder="1"/>
    <xf numFmtId="44" fontId="4" fillId="0" borderId="41" xfId="6" applyFont="1" applyFill="1" applyBorder="1"/>
    <xf numFmtId="44" fontId="4" fillId="31" borderId="41" xfId="6" applyFont="1" applyFill="1" applyBorder="1"/>
    <xf numFmtId="44" fontId="4" fillId="0" borderId="21" xfId="1" applyFont="1" applyBorder="1" applyAlignment="1">
      <alignment vertical="center" wrapText="1"/>
    </xf>
    <xf numFmtId="44" fontId="4" fillId="0" borderId="2" xfId="1" applyFont="1" applyBorder="1" applyAlignment="1">
      <alignment vertical="center" wrapText="1"/>
    </xf>
    <xf numFmtId="1" fontId="4" fillId="0" borderId="40" xfId="6" applyNumberFormat="1" applyFont="1" applyFill="1" applyBorder="1"/>
    <xf numFmtId="44" fontId="4" fillId="0" borderId="46" xfId="1" applyFont="1" applyFill="1" applyBorder="1"/>
    <xf numFmtId="44" fontId="8" fillId="12" borderId="11" xfId="6" applyFont="1" applyFill="1" applyBorder="1"/>
    <xf numFmtId="0" fontId="0" fillId="31" borderId="0" xfId="0" applyFill="1"/>
    <xf numFmtId="49" fontId="10" fillId="0" borderId="0" xfId="5" applyNumberFormat="1" applyFont="1" applyAlignment="1">
      <alignment vertical="center" wrapText="1"/>
    </xf>
    <xf numFmtId="44" fontId="8" fillId="0" borderId="0" xfId="6" applyFont="1" applyFill="1" applyBorder="1"/>
    <xf numFmtId="44" fontId="4" fillId="0" borderId="0" xfId="6" applyFont="1" applyFill="1" applyBorder="1"/>
    <xf numFmtId="1" fontId="4" fillId="0" borderId="0" xfId="6" applyNumberFormat="1" applyFont="1" applyFill="1" applyBorder="1"/>
    <xf numFmtId="49" fontId="10" fillId="32" borderId="11" xfId="5" applyNumberFormat="1" applyFont="1" applyFill="1" applyBorder="1" applyAlignment="1">
      <alignment vertical="center" wrapText="1"/>
    </xf>
    <xf numFmtId="2" fontId="8" fillId="32" borderId="0" xfId="4" applyNumberFormat="1" applyFont="1" applyFill="1"/>
    <xf numFmtId="0" fontId="0" fillId="0" borderId="58" xfId="0" applyBorder="1"/>
    <xf numFmtId="0" fontId="0" fillId="12" borderId="58" xfId="0" applyFill="1" applyBorder="1"/>
    <xf numFmtId="1" fontId="4" fillId="0" borderId="58" xfId="6" applyNumberFormat="1" applyFont="1" applyFill="1" applyBorder="1"/>
    <xf numFmtId="1" fontId="0" fillId="12" borderId="58" xfId="0" applyNumberFormat="1" applyFill="1" applyBorder="1"/>
    <xf numFmtId="1" fontId="0" fillId="0" borderId="58" xfId="0" applyNumberFormat="1" applyBorder="1"/>
    <xf numFmtId="10" fontId="0" fillId="0" borderId="0" xfId="2" applyNumberFormat="1" applyFont="1"/>
    <xf numFmtId="44" fontId="4" fillId="0" borderId="12" xfId="6" applyFont="1" applyBorder="1"/>
    <xf numFmtId="44" fontId="4" fillId="0" borderId="47" xfId="1" applyFont="1" applyBorder="1"/>
    <xf numFmtId="1" fontId="4" fillId="0" borderId="10" xfId="6" applyNumberFormat="1" applyFont="1" applyBorder="1"/>
    <xf numFmtId="44" fontId="4" fillId="0" borderId="11" xfId="6" applyFont="1" applyBorder="1"/>
    <xf numFmtId="0" fontId="0" fillId="31" borderId="58" xfId="0" applyFill="1" applyBorder="1"/>
    <xf numFmtId="43" fontId="0" fillId="0" borderId="0" xfId="0" applyNumberFormat="1"/>
    <xf numFmtId="0" fontId="0" fillId="0" borderId="59" xfId="0" applyBorder="1"/>
    <xf numFmtId="10" fontId="0" fillId="0" borderId="0" xfId="0" applyNumberFormat="1"/>
    <xf numFmtId="0" fontId="0" fillId="13" borderId="0" xfId="0" applyFill="1"/>
    <xf numFmtId="44" fontId="0" fillId="13" borderId="0" xfId="1" applyFont="1" applyFill="1"/>
    <xf numFmtId="9" fontId="0" fillId="0" borderId="59" xfId="2" applyFont="1" applyBorder="1"/>
    <xf numFmtId="0" fontId="27" fillId="10" borderId="58" xfId="0" applyFont="1" applyFill="1" applyBorder="1"/>
    <xf numFmtId="0" fontId="27" fillId="10" borderId="59" xfId="0" applyFont="1" applyFill="1" applyBorder="1"/>
    <xf numFmtId="0" fontId="27" fillId="10" borderId="11" xfId="0" applyFont="1" applyFill="1" applyBorder="1"/>
    <xf numFmtId="10" fontId="0" fillId="13" borderId="11" xfId="2" applyNumberFormat="1" applyFont="1" applyFill="1" applyBorder="1"/>
    <xf numFmtId="0" fontId="9" fillId="0" borderId="0" xfId="0" applyFont="1"/>
    <xf numFmtId="9" fontId="9" fillId="0" borderId="0" xfId="0" applyNumberFormat="1" applyFont="1"/>
    <xf numFmtId="10" fontId="9" fillId="0" borderId="0" xfId="0" applyNumberFormat="1" applyFont="1"/>
    <xf numFmtId="167" fontId="9" fillId="0" borderId="0" xfId="0" applyNumberFormat="1" applyFont="1" applyAlignment="1">
      <alignment horizontal="center"/>
    </xf>
    <xf numFmtId="0" fontId="0" fillId="0" borderId="0" xfId="0" applyAlignment="1">
      <alignment wrapText="1"/>
    </xf>
    <xf numFmtId="0" fontId="0" fillId="31" borderId="11" xfId="0" applyFill="1" applyBorder="1" applyAlignment="1">
      <alignment wrapText="1"/>
    </xf>
    <xf numFmtId="0" fontId="26" fillId="0" borderId="11" xfId="0" applyFont="1" applyBorder="1" applyAlignment="1">
      <alignment wrapText="1"/>
    </xf>
    <xf numFmtId="0" fontId="9" fillId="0" borderId="53" xfId="0" applyFont="1" applyBorder="1" applyAlignment="1">
      <alignment wrapText="1"/>
    </xf>
    <xf numFmtId="10" fontId="9" fillId="0" borderId="0" xfId="0" applyNumberFormat="1" applyFont="1" applyAlignment="1">
      <alignment wrapText="1"/>
    </xf>
    <xf numFmtId="9" fontId="9" fillId="0" borderId="53" xfId="2" applyFont="1" applyBorder="1"/>
    <xf numFmtId="9" fontId="26" fillId="0" borderId="52" xfId="2" applyFont="1" applyBorder="1"/>
    <xf numFmtId="9" fontId="9" fillId="0" borderId="0" xfId="2" applyFont="1" applyBorder="1"/>
    <xf numFmtId="9" fontId="0" fillId="13" borderId="0" xfId="2" applyFont="1" applyFill="1"/>
    <xf numFmtId="0" fontId="26" fillId="21" borderId="50" xfId="0" applyFont="1" applyFill="1" applyBorder="1"/>
    <xf numFmtId="0" fontId="26" fillId="21" borderId="51" xfId="0" applyFont="1" applyFill="1" applyBorder="1"/>
    <xf numFmtId="9" fontId="9" fillId="21" borderId="53" xfId="2" applyFont="1" applyFill="1" applyBorder="1"/>
    <xf numFmtId="2" fontId="4" fillId="0" borderId="12" xfId="6" applyNumberFormat="1" applyFont="1" applyFill="1" applyBorder="1"/>
    <xf numFmtId="2" fontId="4" fillId="12" borderId="11" xfId="1" applyNumberFormat="1" applyFont="1" applyFill="1" applyBorder="1"/>
    <xf numFmtId="2" fontId="4" fillId="0" borderId="11" xfId="1" applyNumberFormat="1" applyFont="1" applyFill="1" applyBorder="1"/>
    <xf numFmtId="2" fontId="4" fillId="33" borderId="11" xfId="1" applyNumberFormat="1" applyFont="1" applyFill="1" applyBorder="1"/>
    <xf numFmtId="44" fontId="4" fillId="29" borderId="11" xfId="6" applyFont="1" applyFill="1" applyBorder="1"/>
    <xf numFmtId="44" fontId="4" fillId="29" borderId="12" xfId="6" applyFont="1" applyFill="1" applyBorder="1"/>
    <xf numFmtId="1" fontId="4" fillId="29" borderId="12" xfId="6" applyNumberFormat="1" applyFont="1" applyFill="1" applyBorder="1"/>
    <xf numFmtId="44" fontId="4" fillId="21" borderId="0" xfId="1" applyFont="1" applyFill="1" applyAlignment="1">
      <alignment horizontal="center"/>
    </xf>
    <xf numFmtId="44" fontId="4" fillId="0" borderId="11" xfId="1" applyFont="1" applyBorder="1" applyAlignment="1">
      <alignment horizontal="center"/>
    </xf>
    <xf numFmtId="44" fontId="4" fillId="21" borderId="11" xfId="1" applyFont="1" applyFill="1" applyBorder="1" applyAlignment="1">
      <alignment horizontal="center"/>
    </xf>
    <xf numFmtId="44" fontId="4" fillId="29" borderId="15" xfId="6" applyFont="1" applyFill="1" applyBorder="1"/>
    <xf numFmtId="1" fontId="4" fillId="0" borderId="11" xfId="6" applyNumberFormat="1" applyFont="1" applyFill="1" applyBorder="1"/>
    <xf numFmtId="44" fontId="4" fillId="21" borderId="10" xfId="0" applyNumberFormat="1" applyFont="1" applyFill="1" applyBorder="1" applyAlignment="1">
      <alignment horizontal="center"/>
    </xf>
    <xf numFmtId="44" fontId="4" fillId="0" borderId="15" xfId="6" applyFont="1" applyFill="1" applyBorder="1"/>
    <xf numFmtId="1" fontId="4" fillId="31" borderId="11" xfId="6" applyNumberFormat="1" applyFont="1" applyFill="1" applyBorder="1"/>
    <xf numFmtId="44" fontId="4" fillId="13" borderId="12" xfId="6" applyFont="1" applyFill="1" applyBorder="1"/>
    <xf numFmtId="1" fontId="4" fillId="13" borderId="12" xfId="6" applyNumberFormat="1" applyFont="1" applyFill="1" applyBorder="1"/>
    <xf numFmtId="1" fontId="4" fillId="13" borderId="11" xfId="6" applyNumberFormat="1" applyFont="1" applyFill="1" applyBorder="1"/>
    <xf numFmtId="44" fontId="8" fillId="13" borderId="41" xfId="6" applyFont="1" applyFill="1" applyBorder="1"/>
    <xf numFmtId="1" fontId="8" fillId="13" borderId="41" xfId="6" applyNumberFormat="1" applyFont="1" applyFill="1" applyBorder="1"/>
    <xf numFmtId="9" fontId="4" fillId="0" borderId="0" xfId="2" applyFont="1" applyAlignment="1">
      <alignment horizontal="center"/>
    </xf>
    <xf numFmtId="10" fontId="4" fillId="0" borderId="0" xfId="2" applyNumberFormat="1" applyFont="1" applyAlignment="1">
      <alignment horizontal="center"/>
    </xf>
    <xf numFmtId="44" fontId="4" fillId="13" borderId="11" xfId="0" applyNumberFormat="1" applyFont="1" applyFill="1" applyBorder="1" applyAlignment="1">
      <alignment horizontal="center"/>
    </xf>
    <xf numFmtId="44" fontId="4" fillId="13" borderId="0" xfId="1" applyFont="1" applyFill="1" applyAlignment="1">
      <alignment horizontal="center"/>
    </xf>
    <xf numFmtId="44" fontId="0" fillId="13" borderId="11" xfId="0" applyNumberFormat="1" applyFill="1" applyBorder="1"/>
    <xf numFmtId="9" fontId="0" fillId="13" borderId="11" xfId="2" applyFont="1" applyFill="1" applyBorder="1"/>
    <xf numFmtId="9" fontId="0" fillId="13" borderId="11" xfId="0" applyNumberFormat="1" applyFill="1" applyBorder="1"/>
    <xf numFmtId="44" fontId="4" fillId="0" borderId="0" xfId="2" applyNumberFormat="1" applyFont="1" applyFill="1" applyBorder="1" applyAlignment="1">
      <alignment horizontal="left" wrapText="1"/>
    </xf>
    <xf numFmtId="44" fontId="4" fillId="13" borderId="47" xfId="1" applyFont="1" applyFill="1" applyBorder="1"/>
    <xf numFmtId="8" fontId="0" fillId="0" borderId="0" xfId="0" applyNumberFormat="1"/>
    <xf numFmtId="0" fontId="26" fillId="0" borderId="62" xfId="0" applyFont="1" applyBorder="1"/>
    <xf numFmtId="9" fontId="9" fillId="0" borderId="63" xfId="2" applyFont="1" applyFill="1" applyBorder="1"/>
    <xf numFmtId="0" fontId="0" fillId="34" borderId="11" xfId="0" applyFill="1" applyBorder="1" applyAlignment="1">
      <alignment horizontal="center"/>
    </xf>
    <xf numFmtId="9" fontId="0" fillId="34" borderId="11" xfId="0" applyNumberFormat="1" applyFill="1" applyBorder="1" applyAlignment="1">
      <alignment horizontal="center"/>
    </xf>
    <xf numFmtId="0" fontId="0" fillId="13" borderId="11" xfId="0" applyFill="1" applyBorder="1"/>
    <xf numFmtId="0" fontId="0" fillId="0" borderId="64" xfId="0" applyBorder="1"/>
    <xf numFmtId="1" fontId="0" fillId="12" borderId="64" xfId="0" applyNumberFormat="1" applyFill="1" applyBorder="1"/>
    <xf numFmtId="1" fontId="0" fillId="0" borderId="64" xfId="0" applyNumberFormat="1" applyBorder="1"/>
    <xf numFmtId="1" fontId="0" fillId="12" borderId="11" xfId="0" applyNumberFormat="1" applyFill="1" applyBorder="1"/>
    <xf numFmtId="0" fontId="9" fillId="31" borderId="53" xfId="0" applyFont="1" applyFill="1" applyBorder="1" applyAlignment="1">
      <alignment wrapText="1"/>
    </xf>
    <xf numFmtId="1" fontId="4" fillId="13" borderId="58" xfId="6" applyNumberFormat="1" applyFont="1" applyFill="1" applyBorder="1"/>
    <xf numFmtId="1" fontId="4" fillId="0" borderId="15" xfId="6" applyNumberFormat="1" applyFont="1" applyFill="1" applyBorder="1"/>
    <xf numFmtId="1" fontId="4" fillId="0" borderId="35" xfId="6" applyNumberFormat="1" applyFont="1" applyFill="1" applyBorder="1"/>
    <xf numFmtId="1" fontId="4" fillId="13" borderId="19" xfId="6" applyNumberFormat="1" applyFont="1" applyFill="1" applyBorder="1"/>
    <xf numFmtId="9" fontId="28" fillId="21" borderId="53" xfId="2" applyFont="1" applyFill="1" applyBorder="1"/>
    <xf numFmtId="9" fontId="28" fillId="0" borderId="53" xfId="2" applyFont="1" applyBorder="1"/>
    <xf numFmtId="9" fontId="28" fillId="0" borderId="63" xfId="2" applyFont="1" applyBorder="1"/>
    <xf numFmtId="1" fontId="29" fillId="0" borderId="0" xfId="1" applyNumberFormat="1" applyFont="1" applyAlignment="1">
      <alignment horizontal="center"/>
    </xf>
    <xf numFmtId="44" fontId="30" fillId="4" borderId="11" xfId="6" applyFont="1" applyFill="1" applyBorder="1" applyAlignment="1">
      <alignment horizontal="center" vertical="center" wrapText="1"/>
    </xf>
    <xf numFmtId="0" fontId="30" fillId="19" borderId="11" xfId="0" applyFont="1" applyFill="1" applyBorder="1" applyAlignment="1">
      <alignment horizontal="center" vertical="center" wrapText="1"/>
    </xf>
    <xf numFmtId="0" fontId="31" fillId="20" borderId="11" xfId="0" applyFont="1" applyFill="1" applyBorder="1" applyAlignment="1">
      <alignment vertical="center" wrapText="1"/>
    </xf>
    <xf numFmtId="0" fontId="30" fillId="6" borderId="14" xfId="0" applyFont="1" applyFill="1" applyBorder="1" applyAlignment="1">
      <alignment vertical="center" wrapText="1"/>
    </xf>
    <xf numFmtId="2" fontId="31" fillId="0" borderId="11" xfId="4" applyNumberFormat="1" applyFont="1" applyBorder="1"/>
    <xf numFmtId="44" fontId="31" fillId="0" borderId="11" xfId="6" applyFont="1" applyBorder="1"/>
    <xf numFmtId="1" fontId="29" fillId="0" borderId="12" xfId="6" applyNumberFormat="1" applyFont="1" applyBorder="1"/>
    <xf numFmtId="1" fontId="29" fillId="29" borderId="12" xfId="6" applyNumberFormat="1" applyFont="1" applyFill="1" applyBorder="1"/>
    <xf numFmtId="44" fontId="29" fillId="0" borderId="12" xfId="6" applyFont="1" applyBorder="1"/>
    <xf numFmtId="44" fontId="29" fillId="29" borderId="12" xfId="6" applyFont="1" applyFill="1" applyBorder="1"/>
    <xf numFmtId="44" fontId="29" fillId="21" borderId="0" xfId="1" applyFont="1" applyFill="1" applyAlignment="1">
      <alignment horizontal="center"/>
    </xf>
    <xf numFmtId="0" fontId="30" fillId="6" borderId="13" xfId="0" applyFont="1" applyFill="1" applyBorder="1" applyAlignment="1">
      <alignment horizontal="left" vertical="center" wrapText="1"/>
    </xf>
    <xf numFmtId="2" fontId="30" fillId="4" borderId="18" xfId="3" applyNumberFormat="1" applyFont="1" applyFill="1" applyBorder="1" applyAlignment="1">
      <alignment horizontal="center" vertical="center" wrapText="1"/>
    </xf>
    <xf numFmtId="44" fontId="30" fillId="4" borderId="18" xfId="6" applyFont="1" applyFill="1" applyBorder="1" applyAlignment="1">
      <alignment horizontal="center" vertical="center" wrapText="1"/>
    </xf>
    <xf numFmtId="1" fontId="32" fillId="11" borderId="21" xfId="4" applyNumberFormat="1" applyFont="1" applyFill="1" applyBorder="1"/>
    <xf numFmtId="44" fontId="30" fillId="11" borderId="21" xfId="6" applyFont="1" applyFill="1" applyBorder="1"/>
    <xf numFmtId="44" fontId="30" fillId="11" borderId="41" xfId="6" applyFont="1" applyFill="1" applyBorder="1"/>
    <xf numFmtId="2" fontId="29" fillId="12" borderId="20" xfId="4" applyNumberFormat="1" applyFont="1" applyFill="1" applyBorder="1" applyAlignment="1">
      <alignment horizontal="left"/>
    </xf>
    <xf numFmtId="0" fontId="29" fillId="12" borderId="20" xfId="4" applyFont="1" applyFill="1" applyBorder="1" applyAlignment="1">
      <alignment horizontal="left" indent="1"/>
    </xf>
    <xf numFmtId="44" fontId="31" fillId="12" borderId="21" xfId="6" applyFont="1" applyFill="1" applyBorder="1"/>
    <xf numFmtId="44" fontId="29" fillId="12" borderId="41" xfId="6" applyFont="1" applyFill="1" applyBorder="1"/>
    <xf numFmtId="0" fontId="29" fillId="0" borderId="11" xfId="4" applyFont="1" applyBorder="1" applyAlignment="1">
      <alignment horizontal="left"/>
    </xf>
    <xf numFmtId="49" fontId="33" fillId="0" borderId="11" xfId="5" applyNumberFormat="1" applyFont="1" applyBorder="1" applyAlignment="1">
      <alignment vertical="center" wrapText="1"/>
    </xf>
    <xf numFmtId="2" fontId="31" fillId="12" borderId="21" xfId="4" applyNumberFormat="1" applyFont="1" applyFill="1" applyBorder="1"/>
    <xf numFmtId="44" fontId="31" fillId="12" borderId="11" xfId="6" applyFont="1" applyFill="1" applyBorder="1"/>
    <xf numFmtId="44" fontId="29" fillId="12" borderId="12" xfId="6" applyFont="1" applyFill="1" applyBorder="1"/>
    <xf numFmtId="44" fontId="29" fillId="0" borderId="11" xfId="1" applyFont="1" applyBorder="1" applyAlignment="1">
      <alignment horizontal="left"/>
    </xf>
    <xf numFmtId="44" fontId="33" fillId="0" borderId="11" xfId="1" applyFont="1" applyBorder="1" applyAlignment="1">
      <alignment vertical="center" wrapText="1"/>
    </xf>
    <xf numFmtId="44" fontId="31" fillId="0" borderId="11" xfId="1" applyFont="1" applyBorder="1"/>
    <xf numFmtId="44" fontId="29" fillId="0" borderId="21" xfId="1" applyFont="1" applyBorder="1" applyAlignment="1">
      <alignment horizontal="left"/>
    </xf>
    <xf numFmtId="44" fontId="33" fillId="0" borderId="21" xfId="1" applyFont="1" applyBorder="1" applyAlignment="1">
      <alignment vertical="center" wrapText="1"/>
    </xf>
    <xf numFmtId="44" fontId="31" fillId="0" borderId="21" xfId="1" applyFont="1" applyBorder="1"/>
    <xf numFmtId="44" fontId="29" fillId="0" borderId="41" xfId="6" applyFont="1" applyBorder="1"/>
    <xf numFmtId="44" fontId="29" fillId="31" borderId="41" xfId="6" applyFont="1" applyFill="1" applyBorder="1"/>
    <xf numFmtId="2" fontId="29" fillId="12" borderId="21" xfId="4" applyNumberFormat="1" applyFont="1" applyFill="1" applyBorder="1" applyAlignment="1">
      <alignment horizontal="left"/>
    </xf>
    <xf numFmtId="0" fontId="29" fillId="12" borderId="21" xfId="4" applyFont="1" applyFill="1" applyBorder="1" applyAlignment="1">
      <alignment horizontal="left" indent="1"/>
    </xf>
    <xf numFmtId="0" fontId="29" fillId="0" borderId="19" xfId="4" applyFont="1" applyBorder="1" applyAlignment="1">
      <alignment horizontal="left"/>
    </xf>
    <xf numFmtId="49" fontId="33" fillId="0" borderId="19" xfId="5" applyNumberFormat="1" applyFont="1" applyBorder="1" applyAlignment="1">
      <alignment vertical="center" wrapText="1"/>
    </xf>
    <xf numFmtId="2" fontId="31" fillId="0" borderId="19" xfId="4" applyNumberFormat="1" applyFont="1" applyBorder="1"/>
    <xf numFmtId="44" fontId="31" fillId="0" borderId="19" xfId="6" applyFont="1" applyBorder="1"/>
    <xf numFmtId="0" fontId="30" fillId="11" borderId="21" xfId="4" applyFont="1" applyFill="1" applyBorder="1"/>
    <xf numFmtId="2" fontId="30" fillId="11" borderId="21" xfId="4" applyNumberFormat="1" applyFont="1" applyFill="1" applyBorder="1"/>
    <xf numFmtId="0" fontId="29" fillId="0" borderId="21" xfId="4" applyFont="1" applyBorder="1" applyAlignment="1">
      <alignment horizontal="left"/>
    </xf>
    <xf numFmtId="49" fontId="33" fillId="0" borderId="21" xfId="5" applyNumberFormat="1" applyFont="1" applyBorder="1" applyAlignment="1">
      <alignment vertical="center" wrapText="1"/>
    </xf>
    <xf numFmtId="2" fontId="31" fillId="0" borderId="21" xfId="4" applyNumberFormat="1" applyFont="1" applyBorder="1"/>
    <xf numFmtId="44" fontId="31" fillId="0" borderId="21" xfId="6" applyFont="1" applyBorder="1"/>
    <xf numFmtId="1" fontId="30" fillId="11" borderId="41" xfId="6" applyNumberFormat="1" applyFont="1" applyFill="1" applyBorder="1"/>
    <xf numFmtId="1" fontId="29" fillId="12" borderId="41" xfId="6" applyNumberFormat="1" applyFont="1" applyFill="1" applyBorder="1"/>
    <xf numFmtId="0" fontId="29" fillId="13" borderId="20" xfId="4" applyFont="1" applyFill="1" applyBorder="1" applyAlignment="1">
      <alignment horizontal="left"/>
    </xf>
    <xf numFmtId="0" fontId="29" fillId="13" borderId="21" xfId="4" applyFont="1" applyFill="1" applyBorder="1" applyAlignment="1">
      <alignment horizontal="left" indent="1"/>
    </xf>
    <xf numFmtId="2" fontId="31" fillId="13" borderId="20" xfId="4" applyNumberFormat="1" applyFont="1" applyFill="1" applyBorder="1"/>
    <xf numFmtId="44" fontId="31" fillId="13" borderId="20" xfId="6" applyFont="1" applyFill="1" applyBorder="1"/>
    <xf numFmtId="44" fontId="31" fillId="13" borderId="21" xfId="6" applyFont="1" applyFill="1" applyBorder="1"/>
    <xf numFmtId="44" fontId="29" fillId="13" borderId="41" xfId="6" applyFont="1" applyFill="1" applyBorder="1"/>
    <xf numFmtId="1" fontId="29" fillId="13" borderId="41" xfId="6" applyNumberFormat="1" applyFont="1" applyFill="1" applyBorder="1"/>
    <xf numFmtId="0" fontId="29" fillId="0" borderId="20" xfId="4" applyFont="1" applyBorder="1" applyAlignment="1">
      <alignment horizontal="left"/>
    </xf>
    <xf numFmtId="2" fontId="31" fillId="0" borderId="20" xfId="4" applyNumberFormat="1" applyFont="1" applyBorder="1"/>
    <xf numFmtId="44" fontId="31" fillId="0" borderId="20" xfId="6" applyFont="1" applyBorder="1"/>
    <xf numFmtId="2" fontId="29" fillId="12" borderId="21" xfId="4" applyNumberFormat="1" applyFont="1" applyFill="1" applyBorder="1"/>
    <xf numFmtId="44" fontId="29" fillId="12" borderId="11" xfId="6" applyFont="1" applyFill="1" applyBorder="1"/>
    <xf numFmtId="2" fontId="29" fillId="12" borderId="11" xfId="1" applyNumberFormat="1" applyFont="1" applyFill="1" applyBorder="1"/>
    <xf numFmtId="1" fontId="29" fillId="0" borderId="11" xfId="4" applyNumberFormat="1" applyFont="1" applyBorder="1"/>
    <xf numFmtId="49" fontId="33" fillId="32" borderId="11" xfId="5" applyNumberFormat="1" applyFont="1" applyFill="1" applyBorder="1" applyAlignment="1">
      <alignment vertical="center" wrapText="1"/>
    </xf>
    <xf numFmtId="2" fontId="29" fillId="0" borderId="12" xfId="6" applyNumberFormat="1" applyFont="1" applyBorder="1"/>
    <xf numFmtId="2" fontId="31" fillId="0" borderId="0" xfId="4" applyNumberFormat="1" applyFont="1"/>
    <xf numFmtId="44" fontId="31" fillId="0" borderId="0" xfId="6" applyFont="1"/>
    <xf numFmtId="44" fontId="29" fillId="29" borderId="11" xfId="6" applyFont="1" applyFill="1" applyBorder="1"/>
    <xf numFmtId="2" fontId="29" fillId="0" borderId="11" xfId="1" applyNumberFormat="1" applyFont="1" applyBorder="1"/>
    <xf numFmtId="2" fontId="29" fillId="33" borderId="11" xfId="1" applyNumberFormat="1" applyFont="1" applyFill="1" applyBorder="1"/>
    <xf numFmtId="1" fontId="29" fillId="0" borderId="0" xfId="4" applyNumberFormat="1" applyFont="1"/>
    <xf numFmtId="49" fontId="33" fillId="0" borderId="0" xfId="5" applyNumberFormat="1" applyFont="1" applyAlignment="1">
      <alignment vertical="center" wrapText="1"/>
    </xf>
    <xf numFmtId="44" fontId="29" fillId="0" borderId="0" xfId="6" applyFont="1"/>
    <xf numFmtId="1" fontId="29" fillId="0" borderId="0" xfId="6" applyNumberFormat="1" applyFont="1"/>
    <xf numFmtId="44" fontId="29" fillId="12" borderId="21" xfId="1" applyFont="1" applyFill="1" applyBorder="1" applyAlignment="1">
      <alignment horizontal="left" indent="1"/>
    </xf>
    <xf numFmtId="1" fontId="30" fillId="11" borderId="21" xfId="6" applyNumberFormat="1" applyFont="1" applyFill="1" applyBorder="1"/>
    <xf numFmtId="1" fontId="31" fillId="12" borderId="21" xfId="6" applyNumberFormat="1" applyFont="1" applyFill="1" applyBorder="1"/>
    <xf numFmtId="1" fontId="31" fillId="0" borderId="11" xfId="4" applyNumberFormat="1" applyFont="1" applyBorder="1"/>
    <xf numFmtId="1" fontId="31" fillId="0" borderId="11" xfId="6" applyNumberFormat="1" applyFont="1" applyBorder="1"/>
    <xf numFmtId="8" fontId="34" fillId="17" borderId="24" xfId="0" applyNumberFormat="1" applyFont="1" applyFill="1" applyBorder="1" applyAlignment="1">
      <alignment vertical="center" wrapText="1"/>
    </xf>
    <xf numFmtId="0" fontId="29" fillId="21" borderId="4" xfId="4" applyFont="1" applyFill="1" applyBorder="1" applyAlignment="1">
      <alignment horizontal="center" vertical="center"/>
    </xf>
    <xf numFmtId="0" fontId="29" fillId="21" borderId="5" xfId="4" applyFont="1" applyFill="1" applyBorder="1" applyAlignment="1">
      <alignment horizontal="center" vertical="center"/>
    </xf>
    <xf numFmtId="0" fontId="4" fillId="21" borderId="4" xfId="4" applyFont="1" applyFill="1" applyBorder="1" applyAlignment="1">
      <alignment horizontal="center" vertical="center"/>
    </xf>
    <xf numFmtId="0" fontId="4" fillId="21" borderId="5" xfId="4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3" fillId="27" borderId="11" xfId="0" applyFont="1" applyFill="1" applyBorder="1" applyAlignment="1">
      <alignment horizontal="center"/>
    </xf>
    <xf numFmtId="44" fontId="8" fillId="3" borderId="15" xfId="1" applyFont="1" applyFill="1" applyBorder="1" applyAlignment="1">
      <alignment horizontal="center" vertical="center" wrapText="1"/>
    </xf>
    <xf numFmtId="44" fontId="8" fillId="3" borderId="27" xfId="1" applyFont="1" applyFill="1" applyBorder="1" applyAlignment="1">
      <alignment horizontal="center" vertical="center" wrapText="1"/>
    </xf>
    <xf numFmtId="44" fontId="8" fillId="3" borderId="35" xfId="1" applyFont="1" applyFill="1" applyBorder="1" applyAlignment="1">
      <alignment horizontal="center" vertical="center" wrapText="1"/>
    </xf>
    <xf numFmtId="44" fontId="3" fillId="25" borderId="54" xfId="1" applyFont="1" applyFill="1" applyBorder="1" applyAlignment="1">
      <alignment horizontal="center" vertical="center" wrapText="1"/>
    </xf>
    <xf numFmtId="44" fontId="3" fillId="25" borderId="55" xfId="1" applyFont="1" applyFill="1" applyBorder="1" applyAlignment="1">
      <alignment horizontal="center" vertical="center" wrapText="1"/>
    </xf>
    <xf numFmtId="44" fontId="3" fillId="25" borderId="56" xfId="1" applyFont="1" applyFill="1" applyBorder="1" applyAlignment="1">
      <alignment horizontal="center" vertical="center" wrapText="1"/>
    </xf>
    <xf numFmtId="44" fontId="3" fillId="25" borderId="15" xfId="1" applyFont="1" applyFill="1" applyBorder="1" applyAlignment="1">
      <alignment horizontal="center" vertical="center" wrapText="1"/>
    </xf>
    <xf numFmtId="44" fontId="3" fillId="25" borderId="27" xfId="1" applyFont="1" applyFill="1" applyBorder="1" applyAlignment="1">
      <alignment horizontal="center" vertical="center" wrapText="1"/>
    </xf>
    <xf numFmtId="44" fontId="3" fillId="25" borderId="35" xfId="1" applyFont="1" applyFill="1" applyBorder="1" applyAlignment="1">
      <alignment horizontal="center" vertical="center" wrapText="1"/>
    </xf>
    <xf numFmtId="0" fontId="3" fillId="9" borderId="11" xfId="0" applyFont="1" applyFill="1" applyBorder="1" applyAlignment="1">
      <alignment horizontal="center" vertical="center" wrapText="1"/>
    </xf>
    <xf numFmtId="0" fontId="3" fillId="30" borderId="11" xfId="0" applyFont="1" applyFill="1" applyBorder="1" applyAlignment="1">
      <alignment horizontal="center" vertical="center" wrapText="1"/>
    </xf>
    <xf numFmtId="0" fontId="3" fillId="8" borderId="36" xfId="0" applyFont="1" applyFill="1" applyBorder="1" applyAlignment="1">
      <alignment horizontal="center" vertical="center" wrapText="1"/>
    </xf>
    <xf numFmtId="0" fontId="3" fillId="8" borderId="37" xfId="0" applyFont="1" applyFill="1" applyBorder="1" applyAlignment="1">
      <alignment horizontal="center" vertical="center" wrapText="1"/>
    </xf>
    <xf numFmtId="0" fontId="3" fillId="8" borderId="38" xfId="0" applyFont="1" applyFill="1" applyBorder="1" applyAlignment="1">
      <alignment horizontal="center" vertical="center" wrapText="1"/>
    </xf>
    <xf numFmtId="0" fontId="13" fillId="14" borderId="15" xfId="0" applyFont="1" applyFill="1" applyBorder="1" applyAlignment="1">
      <alignment horizontal="center" vertical="center" wrapText="1"/>
    </xf>
    <xf numFmtId="0" fontId="13" fillId="14" borderId="27" xfId="0" applyFont="1" applyFill="1" applyBorder="1" applyAlignment="1">
      <alignment horizontal="center" vertical="center" wrapText="1"/>
    </xf>
    <xf numFmtId="0" fontId="13" fillId="17" borderId="28" xfId="0" applyFont="1" applyFill="1" applyBorder="1" applyAlignment="1">
      <alignment horizontal="center" vertical="center" wrapText="1"/>
    </xf>
    <xf numFmtId="0" fontId="13" fillId="17" borderId="34" xfId="0" applyFont="1" applyFill="1" applyBorder="1" applyAlignment="1">
      <alignment horizontal="center" vertical="center" wrapText="1"/>
    </xf>
    <xf numFmtId="0" fontId="13" fillId="17" borderId="22" xfId="0" applyFont="1" applyFill="1" applyBorder="1" applyAlignment="1">
      <alignment horizontal="center" vertical="center" wrapText="1"/>
    </xf>
    <xf numFmtId="0" fontId="13" fillId="17" borderId="23" xfId="0" applyFont="1" applyFill="1" applyBorder="1" applyAlignment="1">
      <alignment horizontal="center" vertical="center" wrapText="1"/>
    </xf>
    <xf numFmtId="0" fontId="0" fillId="21" borderId="60" xfId="0" applyFill="1" applyBorder="1" applyAlignment="1">
      <alignment horizontal="center"/>
    </xf>
    <xf numFmtId="0" fontId="0" fillId="21" borderId="57" xfId="0" applyFill="1" applyBorder="1" applyAlignment="1">
      <alignment horizontal="center"/>
    </xf>
    <xf numFmtId="0" fontId="0" fillId="33" borderId="57" xfId="0" applyFill="1" applyBorder="1" applyAlignment="1">
      <alignment horizontal="center"/>
    </xf>
    <xf numFmtId="0" fontId="0" fillId="33" borderId="61" xfId="0" applyFill="1" applyBorder="1" applyAlignment="1">
      <alignment horizontal="center"/>
    </xf>
    <xf numFmtId="0" fontId="0" fillId="31" borderId="11" xfId="0" applyFill="1" applyBorder="1" applyAlignment="1">
      <alignment horizontal="center" vertical="center"/>
    </xf>
    <xf numFmtId="0" fontId="0" fillId="0" borderId="11" xfId="0" applyBorder="1" applyAlignment="1">
      <alignment horizontal="left"/>
    </xf>
    <xf numFmtId="0" fontId="23" fillId="10" borderId="11" xfId="0" applyFont="1" applyFill="1" applyBorder="1" applyAlignment="1">
      <alignment horizontal="center"/>
    </xf>
  </cellXfs>
  <cellStyles count="7">
    <cellStyle name="Moneda" xfId="1" builtinId="4"/>
    <cellStyle name="Moneda 2" xfId="6" xr:uid="{3B663F44-19A5-4F43-B7F4-167E6372AA8F}"/>
    <cellStyle name="Normal" xfId="0" builtinId="0"/>
    <cellStyle name="Normal 3 2" xfId="3" xr:uid="{5C2915D2-9ACA-49E3-BB72-56A144015C0F}"/>
    <cellStyle name="Normal 3 47" xfId="4" xr:uid="{9B7B5116-3E8B-4D15-8061-F26F76AAD2A1}"/>
    <cellStyle name="Normal 7 2" xfId="5" xr:uid="{9905F13A-16D1-4D78-A321-95D0E1AF64CA}"/>
    <cellStyle name="Porcentaje" xfId="2" builtinId="5"/>
  </cellStyles>
  <dxfs count="139"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8" tint="0.79998168889431442"/>
        </patternFill>
      </fill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Relationship Id="rId27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CURVA 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REAL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S'!$L$4:$L$21</c:f>
              <c:numCache>
                <c:formatCode>0%</c:formatCode>
                <c:ptCount val="18"/>
                <c:pt idx="0">
                  <c:v>0</c:v>
                </c:pt>
                <c:pt idx="1">
                  <c:v>9.5705840954416893E-3</c:v>
                </c:pt>
                <c:pt idx="2">
                  <c:v>2.7651750286321296E-2</c:v>
                </c:pt>
                <c:pt idx="3">
                  <c:v>6.1014454744254237E-2</c:v>
                </c:pt>
                <c:pt idx="4">
                  <c:v>6.1014454744254237E-2</c:v>
                </c:pt>
                <c:pt idx="5">
                  <c:v>8.3048458581997331E-2</c:v>
                </c:pt>
                <c:pt idx="6">
                  <c:v>0.11660512567004844</c:v>
                </c:pt>
                <c:pt idx="7">
                  <c:v>0.12850137453089536</c:v>
                </c:pt>
                <c:pt idx="8">
                  <c:v>0.14864858235581579</c:v>
                </c:pt>
                <c:pt idx="9">
                  <c:v>0.15862407287560923</c:v>
                </c:pt>
                <c:pt idx="10">
                  <c:v>0.18643167251258969</c:v>
                </c:pt>
                <c:pt idx="11">
                  <c:v>0.225965709369263</c:v>
                </c:pt>
                <c:pt idx="12">
                  <c:v>0.26549974622593631</c:v>
                </c:pt>
                <c:pt idx="13">
                  <c:v>0.30856020483057517</c:v>
                </c:pt>
                <c:pt idx="14">
                  <c:v>0.31755456142370081</c:v>
                </c:pt>
                <c:pt idx="15">
                  <c:v>0.38736601389813946</c:v>
                </c:pt>
                <c:pt idx="16">
                  <c:v>0.42502834911009268</c:v>
                </c:pt>
                <c:pt idx="17">
                  <c:v>0.42502834911009268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BC-4E36-B73E-E2AD1807594A}"/>
            </c:ext>
          </c:extLst>
        </c:ser>
        <c:ser>
          <c:idx val="1"/>
          <c:order val="1"/>
          <c:tx>
            <c:strRef>
              <c:f>'CURVA S'!$J$3</c:f>
              <c:strCache>
                <c:ptCount val="1"/>
                <c:pt idx="0">
                  <c:v>%ACUMULADO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'CURVA S'!$J$4:$J$21</c:f>
              <c:numCache>
                <c:formatCode>0%</c:formatCode>
                <c:ptCount val="18"/>
                <c:pt idx="0">
                  <c:v>0</c:v>
                </c:pt>
                <c:pt idx="1">
                  <c:v>9.5698293770365601E-3</c:v>
                </c:pt>
                <c:pt idx="2">
                  <c:v>9.5698293770365601E-3</c:v>
                </c:pt>
                <c:pt idx="3">
                  <c:v>6.151038492095029E-2</c:v>
                </c:pt>
                <c:pt idx="4">
                  <c:v>6.151038492095029E-2</c:v>
                </c:pt>
                <c:pt idx="5">
                  <c:v>8.4976110654480269E-2</c:v>
                </c:pt>
                <c:pt idx="6">
                  <c:v>8.4976110654480269E-2</c:v>
                </c:pt>
                <c:pt idx="7">
                  <c:v>0.13454564380783512</c:v>
                </c:pt>
                <c:pt idx="8">
                  <c:v>0.13454564380783512</c:v>
                </c:pt>
                <c:pt idx="9">
                  <c:v>0.16910985118008937</c:v>
                </c:pt>
                <c:pt idx="10">
                  <c:v>0.16910985118008937</c:v>
                </c:pt>
                <c:pt idx="11">
                  <c:v>0.25822269201349557</c:v>
                </c:pt>
                <c:pt idx="12">
                  <c:v>0.25822269201349557</c:v>
                </c:pt>
                <c:pt idx="13">
                  <c:v>0.33257195135208262</c:v>
                </c:pt>
                <c:pt idx="14">
                  <c:v>0.33257195135208262</c:v>
                </c:pt>
                <c:pt idx="15">
                  <c:v>0.41569628145572873</c:v>
                </c:pt>
                <c:pt idx="16">
                  <c:v>0.41569628145572873</c:v>
                </c:pt>
                <c:pt idx="17">
                  <c:v>0.66243219898126271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BC-4E36-B73E-E2AD18075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7752968"/>
        <c:axId val="907755016"/>
      </c:lineChart>
      <c:catAx>
        <c:axId val="907752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7755016"/>
        <c:crosses val="autoZero"/>
        <c:auto val="1"/>
        <c:lblAlgn val="ctr"/>
        <c:lblOffset val="100"/>
        <c:noMultiLvlLbl val="0"/>
      </c:catAx>
      <c:valAx>
        <c:axId val="907755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907752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135254</xdr:colOff>
      <xdr:row>4</xdr:row>
      <xdr:rowOff>65246</xdr:rowOff>
    </xdr:from>
    <xdr:to>
      <xdr:col>8</xdr:col>
      <xdr:colOff>720868</xdr:colOff>
      <xdr:row>9</xdr:row>
      <xdr:rowOff>1057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C76581C-EB8D-4AEE-A159-047C6E9E79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885044" y="987266"/>
          <a:ext cx="1370475" cy="84259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706756</xdr:colOff>
      <xdr:row>7</xdr:row>
      <xdr:rowOff>167510</xdr:rowOff>
    </xdr:from>
    <xdr:to>
      <xdr:col>7</xdr:col>
      <xdr:colOff>496201</xdr:colOff>
      <xdr:row>12</xdr:row>
      <xdr:rowOff>95962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8F34B3D-2AE4-4C02-AF8E-D6E1B1931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/>
      </xdr:blipFill>
      <xdr:spPr bwMode="auto">
        <a:xfrm>
          <a:off x="9971983" y="1379783"/>
          <a:ext cx="1326434" cy="78102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741137</xdr:colOff>
      <xdr:row>25</xdr:row>
      <xdr:rowOff>140276</xdr:rowOff>
    </xdr:from>
    <xdr:to>
      <xdr:col>7</xdr:col>
      <xdr:colOff>1606641</xdr:colOff>
      <xdr:row>45</xdr:row>
      <xdr:rowOff>184695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8D9E050-A73A-0758-09E4-38A3719C3FE4}"/>
            </a:ext>
            <a:ext uri="{147F2762-F138-4A5C-976F-8EAC2B608ADB}">
              <a16:predDERef xmlns:a16="http://schemas.microsoft.com/office/drawing/2014/main" pred="{EC65FCB8-D788-560F-4B65-E71F486658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Jcastro/JUAN%20CARLOS/Documents%20and%20Settings/Administrador/Mis%20documentos/Documentos%20Oficina%20Tecnica%20enviados%20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Mecanicos/d/Archivos%20de%20programa/TRABAJO/EXCEL/INFORMES/l-p-n&#176;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razuri/saga%20falabel/Carlos/Encofrado/Precios%20Unitario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Mecanicos/d/Mario%20Pi&#241;eiro/nelco/presentacion%208marzo/obragrues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Documents%20and%20Settings/Jorge%20Jerez/Mis%20documentos/1_San_Miguel/Presupuestos/1_1SM_Enero_1/CP_SanMiguel_Enero_1/Mario%20Pi&#241;eiro/nelco/presentacion%208marzo/obragrues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File-server/Dpto_Tecnico/CAMZ/Cono%20Sur/Licitaciones/Muro%20de%20contenci&#243;n/CARPETA%20DE%20LA%20FAMILIA/LEOPARDO1/metrados/Nueva%20carpeta/COLISEO%20NEWTON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Mecanicos/d/Mis%20documentos/Cines%20Florida%20Center/Licitaciones/Climatizaci&#243;n%20y%20ventilaci&#243;n/Comparativo%20climatizaci&#243;n%20Cines%2003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YEFFERSON%20GONZALEZ/Downloads/5353%20Cuadro%20de%20control%2011B%20ENERO.xlsx" TargetMode="External"/><Relationship Id="rId1" Type="http://schemas.openxmlformats.org/officeDocument/2006/relationships/externalLinkPath" Target="file:///C:/Users/YEFFERSON%20GONZALEZ/Downloads/5353%20Cuadro%20de%20control%2011B%20ENER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puni"/>
      <sheetName val="CCcosto"/>
      <sheetName val="Datos"/>
      <sheetName val="PlanCta07"/>
      <sheetName val="A"/>
      <sheetName val="RESUMEN"/>
      <sheetName val="VENTA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 - Climatización"/>
      <sheetName val="Tablas"/>
      <sheetName val="MATRIZ"/>
      <sheetName val="Electricidad_-_Climatización"/>
      <sheetName val="IMPUTACIONES ANALITICIAS"/>
      <sheetName val="DATA"/>
      <sheetName val="FINAL"/>
      <sheetName val="LR"/>
      <sheetName val="Materiales"/>
      <sheetName val="Resumen Seguridad"/>
      <sheetName val="GGRALES_12"/>
      <sheetName val="Documentos_Oficina_Tecnica_en11"/>
      <sheetName val="Curva_S_DAMRAISE10"/>
      <sheetName val="Electricidad_-_Climatización1"/>
      <sheetName val="IMPUTACIONES_ANALITICIAS"/>
      <sheetName val="GGRALES_13"/>
      <sheetName val="Documentos_Oficina_Tecnica_en12"/>
      <sheetName val="Curva_S_DAMRAISE11"/>
      <sheetName val="Electricidad_-_Climatización2"/>
      <sheetName val="IMPUTACIONES_ANALITICIAS1"/>
      <sheetName val="CURVA S"/>
      <sheetName val="CI"/>
      <sheetName val="Ins"/>
      <sheetName val="$HH"/>
      <sheetName val="MAT"/>
      <sheetName val="METRADO"/>
      <sheetName val="Pintura"/>
      <sheetName val="P U "/>
      <sheetName val="G G ESTRUC."/>
      <sheetName val="RESUMEN CLIENTE"/>
      <sheetName val="G"/>
      <sheetName val="ANÁLISIS GG"/>
      <sheetName val="Tuberia"/>
      <sheetName val="Listas"/>
      <sheetName val="17 Valorización"/>
      <sheetName val="F-05"/>
      <sheetName val="Sheet1"/>
      <sheetName val="BD.ELEM."/>
      <sheetName val="BD.NIVEL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"/>
      <sheetName val="CURVA_S"/>
      <sheetName val="GGRALES_15"/>
      <sheetName val="Documentos_Oficina_Tecnica_en14"/>
      <sheetName val="Curva_S_DAMRAISE13"/>
      <sheetName val="Electricidad_-_Climatización4"/>
      <sheetName val="IMPUTACIONES_ANALITICIAS3"/>
      <sheetName val="Resumen_Seguridad1"/>
      <sheetName val="CURVA_S1"/>
      <sheetName val="GGRALES_17"/>
      <sheetName val="Documentos_Oficina_Tecnica_en16"/>
      <sheetName val="Curva_S_DAMRAISE15"/>
      <sheetName val="Electricidad_-_Climatización6"/>
      <sheetName val="IMPUTACIONES_ANALITICIAS5"/>
      <sheetName val="Resumen_Seguridad3"/>
      <sheetName val="CURVA_S3"/>
      <sheetName val="GGRALES_16"/>
      <sheetName val="Documentos_Oficina_Tecnica_en15"/>
      <sheetName val="Curva_S_DAMRAISE14"/>
      <sheetName val="Electricidad_-_Climatización5"/>
      <sheetName val="IMPUTACIONES_ANALITICIAS4"/>
      <sheetName val="Resumen_Seguridad2"/>
      <sheetName val="CURVA_S2"/>
      <sheetName val="GGRALES_18"/>
      <sheetName val="Documentos_Oficina_Tecnica_en17"/>
      <sheetName val="Curva_S_DAMRAISE16"/>
      <sheetName val="Electricidad_-_Climatización7"/>
      <sheetName val="IMPUTACIONES_ANALITICIAS6"/>
      <sheetName val="Resumen_Seguridad4"/>
      <sheetName val="CURVA_S4"/>
      <sheetName val="EST"/>
      <sheetName val="Estructuras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Limit_ACC_A"/>
      <sheetName val="apuestr"/>
      <sheetName val="Sol.Val"/>
      <sheetName val="Res.Val"/>
      <sheetName val="OBRAS PROV. Y PRELIM."/>
      <sheetName val="EST ESCALERAS"/>
      <sheetName val="PC-19053 RP PURUCHUCO"/>
      <sheetName val="GGRALES_19"/>
      <sheetName val="Documentos_Oficina_Tecnica_en18"/>
      <sheetName val="Curva_S_DAMRAISE17"/>
      <sheetName val="Electricidad_-_Climatización8"/>
      <sheetName val="GGRALES_22"/>
      <sheetName val="Documentos_Oficina_Tecnica_en21"/>
      <sheetName val="Curva_S_DAMRAISE20"/>
      <sheetName val="Electricidad_-_Climatización11"/>
      <sheetName val="IMPUTACIONES_ANALITICIAS9"/>
      <sheetName val="Resumen_Seguridad7"/>
      <sheetName val="CURVA_S7"/>
      <sheetName val="GGRALES_20"/>
      <sheetName val="Documentos_Oficina_Tecnica_en19"/>
      <sheetName val="Curva_S_DAMRAISE18"/>
      <sheetName val="Electricidad_-_Climatización9"/>
      <sheetName val="IMPUTACIONES_ANALITICIAS7"/>
      <sheetName val="Resumen_Seguridad5"/>
      <sheetName val="CURVA_S5"/>
      <sheetName val="GGRALES_21"/>
      <sheetName val="Documentos_Oficina_Tecnica_en20"/>
      <sheetName val="Curva_S_DAMRAISE19"/>
      <sheetName val="Electricidad_-_Climatización10"/>
      <sheetName val="IMPUTACIONES_ANALITICIAS8"/>
      <sheetName val="Resumen_Seguridad6"/>
      <sheetName val="CURVA_S6"/>
      <sheetName val="GGRALES_23"/>
      <sheetName val="Documentos_Oficina_Tecnica_en22"/>
      <sheetName val="Curva_S_DAMRAISE21"/>
      <sheetName val="Electricidad_-_Climatización12"/>
      <sheetName val="IMPUTACIONES_ANALITICIAS10"/>
      <sheetName val="Resumen_Seguridad8"/>
      <sheetName val="CURVA_S8"/>
      <sheetName val="Hoja de Recursos"/>
      <sheetName val="Provisionales "/>
      <sheetName val="Arquitectura"/>
      <sheetName val="MATERIAL"/>
      <sheetName val="P_U_"/>
      <sheetName val="G_G_ESTRUC_"/>
      <sheetName val="RESUMEN_CLIENTE"/>
      <sheetName val="RQ"/>
      <sheetName val="LISTA"/>
      <sheetName val="CAO"/>
      <sheetName val="MANO"/>
      <sheetName val="17_Valorización"/>
      <sheetName val="ANÁLISIS_GG"/>
      <sheetName val="BD_ELEM_"/>
      <sheetName val="BD_NIVEL"/>
      <sheetName val="Hoja_de_Recursos"/>
      <sheetName val="Provisionales_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GGRALES_24"/>
      <sheetName val="Documentos_Oficina_Tecnica_en23"/>
      <sheetName val="Curva_S_DAMRAISE22"/>
      <sheetName val="Electricidad_-_Climatización13"/>
      <sheetName val="IMPUTACIONES_ANALITICIAS11"/>
      <sheetName val="Resumen_Seguridad9"/>
      <sheetName val="CURVA_S9"/>
      <sheetName val="P_U_1"/>
      <sheetName val="G_G_ESTRUC_1"/>
      <sheetName val="RESUMEN_CLIENTE1"/>
      <sheetName val="17_Valorización1"/>
      <sheetName val="ANÁLISIS_GG1"/>
      <sheetName val="BD_ELEM_1"/>
      <sheetName val="BD_NIVEL1"/>
      <sheetName val="Hoja_de_Recursos1"/>
      <sheetName val="Provisionales_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Sol_Val"/>
      <sheetName val="Res_Val"/>
      <sheetName val="OBRAS_PROV__Y_PRELIM_"/>
      <sheetName val="EST_ESCALERAS"/>
      <sheetName val="PC-19053_RP_PURUCHUCO"/>
      <sheetName val="ARQ"/>
      <sheetName val="ANÁLISIS_GG2"/>
      <sheetName val="ANÁLISIS_GG5"/>
      <sheetName val="ANÁLISIS_GG3"/>
      <sheetName val="ANÁLISIS_GG4"/>
      <sheetName val="ANÁLISIS_GG6"/>
      <sheetName val="ANÁLISIS_GG7"/>
      <sheetName val="ANÁLISIS_GG8"/>
      <sheetName val="ANÁLISIS_GG9"/>
      <sheetName val="17_Valorización4"/>
      <sheetName val="BD_ELEM_3"/>
      <sheetName val="BD_NIVEL3"/>
      <sheetName val="P_U_3"/>
      <sheetName val="G_G_ESTRUC_3"/>
      <sheetName val="RESUMEN_CLIENTE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Hoja_de_Recursos3"/>
      <sheetName val="Provisionales_3"/>
      <sheetName val="17_Valorización3"/>
      <sheetName val="P_U_2"/>
      <sheetName val="G_G_ESTRUC_2"/>
      <sheetName val="RESUMEN_CLIENTE2"/>
      <sheetName val="BD_ELEM_2"/>
      <sheetName val="BD_NIVEL2"/>
      <sheetName val="Hoja_de_Recursos2"/>
      <sheetName val="Provisionales_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17_Valorización2"/>
      <sheetName val="civ_roma"/>
      <sheetName val="7422cw00"/>
      <sheetName val="IISS "/>
      <sheetName val="GGRALES_25"/>
      <sheetName val="Documentos_Oficina_Tecnica_en24"/>
      <sheetName val="Curva_S_DAMRAISE23"/>
      <sheetName val="Electricidad_-_Climatización14"/>
      <sheetName val="IMPUTACIONES_ANALITICIAS12"/>
      <sheetName val="Resumen_Seguridad10"/>
      <sheetName val="CURVA_S10"/>
      <sheetName val="Sol_Val1"/>
      <sheetName val="Res_Val1"/>
      <sheetName val="OBRAS_PROV__Y_PRELIM_1"/>
      <sheetName val="EST_ESCALERAS1"/>
      <sheetName val="PC-19053_RP_PURUCHUCO1"/>
      <sheetName val="VYV"/>
      <sheetName val="BCP"/>
      <sheetName val="Consolidado BCP"/>
      <sheetName val="GGRALES_26"/>
      <sheetName val="Documentos_Oficina_Tecnica_en25"/>
      <sheetName val="Curva_S_DAMRAISE24"/>
      <sheetName val="Electricidad_-_Climatización15"/>
      <sheetName val="IMPUTACIONES_ANALITICIAS13"/>
      <sheetName val="Resumen_Seguridad11"/>
      <sheetName val="CURVA_S11"/>
      <sheetName val="ANÁLISIS_GG10"/>
      <sheetName val="Sol_Val2"/>
      <sheetName val="Res_Val2"/>
      <sheetName val="OBRAS_PROV__Y_PRELIM_2"/>
      <sheetName val="EST_ESCALERAS2"/>
      <sheetName val="PC-19053_RP_PURUCHUCO2"/>
      <sheetName val="IISS_"/>
      <sheetName val="03.ARQ2"/>
      <sheetName val="17_Valorización5"/>
      <sheetName val="P_U_4"/>
      <sheetName val="G_G_ESTRUC_4"/>
      <sheetName val="RESUMEN_CLIENTE4"/>
      <sheetName val="BD_ELEM_4"/>
      <sheetName val="BD_NIVEL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Hoja_de_Recursos4"/>
      <sheetName val="Provisionales_4"/>
      <sheetName val="Factura"/>
      <sheetName val="Personalizar"/>
      <sheetName val="GGRALES_27"/>
      <sheetName val="Documentos_Oficina_Tecnica_en26"/>
      <sheetName val="Curva_S_DAMRAISE25"/>
      <sheetName val="Electricidad_-_Climatización16"/>
      <sheetName val="IMPUTACIONES_ANALITICIAS14"/>
      <sheetName val="Resumen_Seguridad12"/>
      <sheetName val="CURVA_S12"/>
      <sheetName val="Sol_Val3"/>
      <sheetName val="Res_Val3"/>
      <sheetName val="OBRAS_PROV__Y_PRELIM_3"/>
      <sheetName val="EST_ESCALERAS3"/>
      <sheetName val="PC-19053_RP_PURUCHUCO3"/>
      <sheetName val="GGRALES_28"/>
      <sheetName val="Documentos_Oficina_Tecnica_en27"/>
      <sheetName val="Curva_S_DAMRAISE26"/>
      <sheetName val="Electricidad_-_Climatización17"/>
      <sheetName val="IMPUTACIONES_ANALITICIAS15"/>
      <sheetName val="Resumen_Seguridad13"/>
      <sheetName val="CURVA_S13"/>
      <sheetName val="P_U_5"/>
      <sheetName val="G_G_ESTRUC_5"/>
      <sheetName val="RESUMEN_CLIENTE5"/>
      <sheetName val="BD_ELEM_5"/>
      <sheetName val="BD_NIVEL5"/>
      <sheetName val="Hoja_de_Recursos5"/>
      <sheetName val="Provisionales_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Sol_Val4"/>
      <sheetName val="Res_Val4"/>
      <sheetName val="OBRAS_PROV__Y_PRELIM_4"/>
      <sheetName val="EST_ESCALERAS4"/>
      <sheetName val="PC-19053_RP_PURUCHUCO4"/>
      <sheetName val="GGRALES_29"/>
      <sheetName val="Documentos_Oficina_Tecnica_en28"/>
      <sheetName val="Curva_S_DAMRAISE27"/>
      <sheetName val="Electricidad_-_Climatización18"/>
      <sheetName val="IMPUTACIONES_ANALITICIAS16"/>
      <sheetName val="Resumen_Seguridad14"/>
      <sheetName val="CURVA_S14"/>
      <sheetName val="P_U_6"/>
      <sheetName val="G_G_ESTRUC_6"/>
      <sheetName val="RESUMEN_CLIENTE6"/>
      <sheetName val="17_Valorización6"/>
      <sheetName val="BD_ELEM_6"/>
      <sheetName val="BD_NIVEL6"/>
      <sheetName val="Hoja_de_Recursos6"/>
      <sheetName val="Provisionales_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Sol_Val5"/>
      <sheetName val="Res_Val5"/>
      <sheetName val="OBRAS_PROV__Y_PRELIM_5"/>
      <sheetName val="EST_ESCALERAS5"/>
      <sheetName val="PC-19053_RP_PURUCHUCO5"/>
      <sheetName val="GGRALES_30"/>
      <sheetName val="Documentos_Oficina_Tecnica_en29"/>
      <sheetName val="Curva_S_DAMRAISE28"/>
      <sheetName val="Electricidad_-_Climatización19"/>
      <sheetName val="IMPUTACIONES_ANALITICIAS17"/>
      <sheetName val="Resumen_Seguridad15"/>
      <sheetName val="CURVA_S15"/>
      <sheetName val="P_U_7"/>
      <sheetName val="G_G_ESTRUC_7"/>
      <sheetName val="RESUMEN_CLIENTE7"/>
      <sheetName val="17_Valorización7"/>
      <sheetName val="BD_ELEM_7"/>
      <sheetName val="BD_NIVEL7"/>
      <sheetName val="Hoja_de_Recursos7"/>
      <sheetName val="Provisionales_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Sol_Val6"/>
      <sheetName val="Res_Val6"/>
      <sheetName val="OBRAS_PROV__Y_PRELIM_6"/>
      <sheetName val="EST_ESCALERAS6"/>
      <sheetName val="PC-19053_RP_PURUCHUCO6"/>
      <sheetName val="fp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 refreshError="1"/>
      <sheetData sheetId="217" refreshError="1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 refreshError="1"/>
      <sheetData sheetId="339" refreshError="1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raje Mix"/>
      <sheetName val="itemizado"/>
      <sheetName val="Tiraje_Mix"/>
      <sheetName val="puni"/>
      <sheetName val="Tiraje_Mix1"/>
      <sheetName val="Hoja3"/>
      <sheetName val="Áreas"/>
      <sheetName val="VENTA"/>
      <sheetName val="Hoja1"/>
      <sheetName val="Hoja2"/>
      <sheetName val="INDIRECTOS"/>
      <sheetName val="RESUMEN_DE_COTIZACION"/>
      <sheetName val="Avance_financiero"/>
      <sheetName val="BASES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PRECIOS_MATERIALES"/>
      <sheetName val="OBRA_CIVIL"/>
      <sheetName val="ESTRUCTURA_DE_HORMIGON"/>
      <sheetName val="INFRAESTRUCTURA"/>
      <sheetName val="INSTALACION_ELECTRICA"/>
      <sheetName val="AREAS - Chile"/>
      <sheetName val="#¡REF"/>
      <sheetName val="Joe_Materiales"/>
      <sheetName val="TCO"/>
      <sheetName val="CCC-VvsM"/>
      <sheetName val="CCC-VENTA"/>
      <sheetName val="CCC-META"/>
      <sheetName val="Utilidad"/>
      <sheetName val="EEPP"/>
      <sheetName val="OOEE"/>
      <sheetName val="DISGREGADO OBRA"/>
      <sheetName val="DISG. Presup. Meta"/>
      <sheetName val="Tiraje_Mix6"/>
      <sheetName val="AREAS_-_Chile4"/>
      <sheetName val="Tiraje_Mix2"/>
      <sheetName val="AREAS_-_Chile"/>
      <sheetName val="Tiraje_Mix3"/>
      <sheetName val="AREAS_-_Chile1"/>
      <sheetName val="Tiraje_Mix4"/>
      <sheetName val="AREAS_-_Chile2"/>
      <sheetName val="Tiraje_Mix5"/>
      <sheetName val="AREAS_-_Chile3"/>
      <sheetName val="Tiraje_Mix10"/>
      <sheetName val="AREAS_-_Chile8"/>
      <sheetName val="Tiraje_Mix7"/>
      <sheetName val="AREAS_-_Chile5"/>
      <sheetName val="Tiraje_Mix8"/>
      <sheetName val="AREAS_-_Chile6"/>
      <sheetName val="Tiraje_Mix9"/>
      <sheetName val="AREAS_-_Chile7"/>
      <sheetName val="Tiraje_Mix11"/>
      <sheetName val="AREAS_-_Chile9"/>
      <sheetName val="RESUMEN"/>
      <sheetName val="Partidas"/>
      <sheetName val="Alerton"/>
      <sheetName val="Lista Desplegable"/>
      <sheetName val="Datos"/>
      <sheetName val="DISGREGADO_OBRA"/>
      <sheetName val="DISG__Presup__Meta"/>
      <sheetName val="LISTA DE CAUSAS"/>
      <sheetName val="Des"/>
      <sheetName val="FLUJO DE PROVISIONES PEN"/>
      <sheetName val="Factores"/>
      <sheetName val="Terminaciones"/>
      <sheetName val="Familias"/>
      <sheetName val="Claves"/>
      <sheetName val="Materiales"/>
      <sheetName val="DATA"/>
      <sheetName val="CI"/>
      <sheetName val="ADDxFam"/>
      <sheetName val="Informacion"/>
      <sheetName val="Tiraje_Mix12"/>
      <sheetName val="AREAS_-_Chile10"/>
      <sheetName val="Lista_Desplegable"/>
      <sheetName val="Precio de Venta"/>
      <sheetName val="A"/>
      <sheetName val="DISGREGADO_OBRA1"/>
      <sheetName val="DISG__Presup__Meta1"/>
      <sheetName val="FLUJO_DE_PROVISIONES_PEN"/>
      <sheetName val="LISTA_DE_CAUSAS"/>
      <sheetName val="Tiraje_Mix13"/>
      <sheetName val="AREAS_-_Chile11"/>
      <sheetName val="DISGREGADO_OBRA2"/>
      <sheetName val="DISG__Presup__Meta2"/>
      <sheetName val="Lista_Desplegable1"/>
      <sheetName val="FLUJO_DE_PROVISIONES_PEN1"/>
      <sheetName val="LISTA_DE_CAUSAS1"/>
      <sheetName val="LOSA ALIGERADA FIRTH+10.5"/>
      <sheetName val="PAVIMENTOS"/>
      <sheetName val="Limit_ACC_A"/>
      <sheetName val="SC"/>
      <sheetName val="EQ"/>
      <sheetName val="MAT"/>
      <sheetName val="MO"/>
      <sheetName val="BD"/>
      <sheetName val="4. FC"/>
      <sheetName val="METRADOS ESTRUCTURAS B-1"/>
      <sheetName val="Info Ayuda"/>
      <sheetName val="DAT3125 - 1"/>
      <sheetName val="DATA2"/>
      <sheetName val="DAT3635 - 1"/>
      <sheetName val="G"/>
      <sheetName val="ANÁLISIS GG"/>
      <sheetName val="Damper"/>
      <sheetName val="Tuberia"/>
      <sheetName val="RESUMEN DE COTIZACION"/>
      <sheetName val="OBRA CIVIL"/>
      <sheetName val="ESTRUCTURA DE HORMIGON"/>
      <sheetName val="INSTALACION ELECTRICA"/>
      <sheetName val="Analisis"/>
      <sheetName val="Sheet1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Tiraje_Mix14"/>
      <sheetName val="AREAS_-_Chile12"/>
      <sheetName val="DISGREGADO_OBRA3"/>
      <sheetName val="DISG__Presup__Meta3"/>
      <sheetName val="LISTA_DE_CAUSAS2"/>
      <sheetName val="Lista_Desplegable2"/>
      <sheetName val="FLUJO_DE_PROVISIONES_PEN2"/>
      <sheetName val="LOSA_ALIGERADA_FIRTH+10_5"/>
      <sheetName val="Precio_de_Venta"/>
      <sheetName val="MAT - CI"/>
      <sheetName val="Sol.Val"/>
      <sheetName val="Res.Val"/>
      <sheetName val="OBRAS PROV. Y PRELIM."/>
      <sheetName val="EST ESCALERAS"/>
      <sheetName val="PC-19053 RP PURUCHUCO"/>
      <sheetName val="X. Auxiliar"/>
      <sheetName val="BASE DE DATOS"/>
      <sheetName val="DAT3125_-_1"/>
      <sheetName val="DAT3635_-_1"/>
      <sheetName val="DAT3125_-_11"/>
      <sheetName val="DAT3635_-_11"/>
      <sheetName val="CRON"/>
      <sheetName val="SPI"/>
      <sheetName val="CPI"/>
      <sheetName val="ISP"/>
      <sheetName val="GRAF.VG"/>
      <sheetName val="Summary"/>
      <sheetName val="BD Prov"/>
      <sheetName val="Fechas"/>
      <sheetName val="Hoja de Recursos"/>
      <sheetName val="Provisionales "/>
      <sheetName val="Estructuras"/>
      <sheetName val="Arquitectura"/>
      <sheetName val="Tiraje_Mix16"/>
      <sheetName val="AREAS_-_Chile14"/>
      <sheetName val="DISGREGADO_OBRA5"/>
      <sheetName val="DISG__Presup__Meta5"/>
      <sheetName val="Lista_Desplegable4"/>
      <sheetName val="FLUJO_DE_PROVISIONES_PEN4"/>
      <sheetName val="LISTA_DE_CAUSAS4"/>
      <sheetName val="Precio_de_Venta2"/>
      <sheetName val="LOSA_ALIGERADA_FIRTH+10_52"/>
      <sheetName val="METRADOS_ESTRUCTURAS_B-11"/>
      <sheetName val="ANÁLISIS_GG1"/>
      <sheetName val="RESUMEN_DE_COTIZACION2"/>
      <sheetName val="OBRA_CIVIL2"/>
      <sheetName val="ESTRUCTURA_DE_HORMIGON2"/>
      <sheetName val="INSTALACION_ELECTRICA2"/>
      <sheetName val="Info_Ayuda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_FC1"/>
      <sheetName val="DAT3125_-_13"/>
      <sheetName val="DAT3635_-_13"/>
      <sheetName val="MAT_-_CI1"/>
      <sheetName val="Sol_Val1"/>
      <sheetName val="Res_Val1"/>
      <sheetName val="OBRAS_PROV__Y_PRELIM_1"/>
      <sheetName val="EST_ESCALERAS1"/>
      <sheetName val="PC-19053_RP_PURUCHUCO1"/>
      <sheetName val="X__Auxiliar1"/>
      <sheetName val="GRAF_VG1"/>
      <sheetName val="BASE_DE_DATOS1"/>
      <sheetName val="BD_Prov1"/>
      <sheetName val="Tiraje_Mix15"/>
      <sheetName val="AREAS_-_Chile13"/>
      <sheetName val="DISGREGADO_OBRA4"/>
      <sheetName val="DISG__Presup__Meta4"/>
      <sheetName val="Lista_Desplegable3"/>
      <sheetName val="FLUJO_DE_PROVISIONES_PEN3"/>
      <sheetName val="LISTA_DE_CAUSAS3"/>
      <sheetName val="Precio_de_Venta1"/>
      <sheetName val="LOSA_ALIGERADA_FIRTH+10_51"/>
      <sheetName val="METRADOS_ESTRUCTURAS_B-1"/>
      <sheetName val="ANÁLISIS_GG"/>
      <sheetName val="RESUMEN_DE_COTIZACION1"/>
      <sheetName val="OBRA_CIVIL1"/>
      <sheetName val="ESTRUCTURA_DE_HORMIGON1"/>
      <sheetName val="INSTALACION_ELECTRICA1"/>
      <sheetName val="Info_Ayuda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4__FC"/>
      <sheetName val="DAT3125_-_12"/>
      <sheetName val="DAT3635_-_12"/>
      <sheetName val="MAT_-_CI"/>
      <sheetName val="Sol_Val"/>
      <sheetName val="Res_Val"/>
      <sheetName val="OBRAS_PROV__Y_PRELIM_"/>
      <sheetName val="EST_ESCALERAS"/>
      <sheetName val="PC-19053_RP_PURUCHUCO"/>
      <sheetName val="X__Auxiliar"/>
      <sheetName val="GRAF_VG"/>
      <sheetName val="BASE_DE_DATOS"/>
      <sheetName val="BD_Prov"/>
      <sheetName val="17 Valorización"/>
      <sheetName val="Pisos "/>
      <sheetName val="Zocalos y C_zoc."/>
      <sheetName val="Vidrios y crist."/>
      <sheetName val="Aparatos sanit."/>
      <sheetName val="FOLIO 368"/>
      <sheetName val="REFE"/>
      <sheetName val="FASEADO"/>
      <sheetName val="B.D."/>
      <sheetName val="1. Reporte de cantidades"/>
      <sheetName val="Deduccion Reajuste"/>
      <sheetName val="LIMA-CANTA"/>
      <sheetName val="1__Reporte_de_cantidades"/>
      <sheetName val="Deduccion_Reajuste"/>
      <sheetName val="ANALISIS ALQUILER FERREYROS"/>
      <sheetName val="SIN IGV GR (2)"/>
      <sheetName val="Basis"/>
      <sheetName val="Calculos"/>
      <sheetName val="Ciclo abr-06"/>
      <sheetName val="ALC"/>
      <sheetName val="ALL"/>
      <sheetName val="APF - APC"/>
      <sheetName val="RH - RS"/>
      <sheetName val="Gastos Generales "/>
      <sheetName val="RECURSOS"/>
      <sheetName val="almacen"/>
      <sheetName val="TOTAL"/>
      <sheetName val="Detalle"/>
      <sheetName val="Valores"/>
      <sheetName val="Quantity"/>
      <sheetName val="GGRALES "/>
      <sheetName val="Documentos Oficina Tecnica envi"/>
      <sheetName val="Sheet11(2)"/>
      <sheetName val="GGRALES_"/>
      <sheetName val="Documentos_Oficina_Tecnica_envi"/>
      <sheetName val="Encofrado_BVR_Unispan"/>
      <sheetName val="CCcosto"/>
      <sheetName val="PlanCta07"/>
      <sheetName val="Curva S DAMRAISE"/>
      <sheetName val="GGRALES_1"/>
      <sheetName val="Documentos_Oficina_Tecnica_env1"/>
      <sheetName val="Parametros"/>
      <sheetName val="A-50"/>
      <sheetName val="Encofrado_BVR_Unispan1"/>
      <sheetName val="Hoja4"/>
      <sheetName val="EDIF_WIESE-CONTRATO"/>
      <sheetName val="Elab,_imp_y_adm_del_plan"/>
      <sheetName val="INVOICE"/>
      <sheetName val="Others"/>
      <sheetName val="hoja_resumen"/>
      <sheetName val="Vers_C"/>
      <sheetName val="presupuesto"/>
      <sheetName val="insumos"/>
      <sheetName val="Tarifas"/>
      <sheetName val="C-WATT"/>
      <sheetName val="GGRALES_2"/>
      <sheetName val="Documentos_Oficina_Tecnica_env2"/>
      <sheetName val="Encofrado_BVR_Unispan2"/>
      <sheetName val="EDIF_WIESE-CONTRATO1"/>
      <sheetName val="Elab,_imp_y_adm_del_plan1"/>
      <sheetName val="hoja_resumen1"/>
      <sheetName val="Vers_C1"/>
      <sheetName val="Tablas"/>
      <sheetName val="MATRIZ"/>
      <sheetName val="Electricidad - Climatización"/>
      <sheetName val="GGRALES_6"/>
      <sheetName val="Documentos_Oficina_Tecnica_env5"/>
      <sheetName val="Curva_S_DAMRAISE4"/>
      <sheetName val="Curva_S_DAMRAISE"/>
      <sheetName val="GGRALES_3"/>
      <sheetName val="Curva_S_DAMRAISE1"/>
      <sheetName val="GGRALES_4"/>
      <sheetName val="Documentos_Oficina_Tecnica_env3"/>
      <sheetName val="Curva_S_DAMRAISE2"/>
      <sheetName val="GGRALES_5"/>
      <sheetName val="Documentos_Oficina_Tecnica_env4"/>
      <sheetName val="Curva_S_DAMRAISE3"/>
      <sheetName val="GGRALES_10"/>
      <sheetName val="Documentos_Oficina_Tecnica_env9"/>
      <sheetName val="Curva_S_DAMRAISE8"/>
      <sheetName val="GGRALES_7"/>
      <sheetName val="Documentos_Oficina_Tecnica_env6"/>
      <sheetName val="Curva_S_DAMRAISE5"/>
      <sheetName val="GGRALES_8"/>
      <sheetName val="Documentos_Oficina_Tecnica_env7"/>
      <sheetName val="Curva_S_DAMRAISE6"/>
      <sheetName val="GGRALES_9"/>
      <sheetName val="Documentos_Oficina_Tecnica_env8"/>
      <sheetName val="Curva_S_DAMRAISE7"/>
      <sheetName val="GGRALES_11"/>
      <sheetName val="Documentos_Oficina_Tecnica_en10"/>
      <sheetName val="Curva_S_DAMRAISE9"/>
      <sheetName val="LEYENDA"/>
      <sheetName val="Electricidad_-_Climatización"/>
      <sheetName val="IMPUTACIONES ANALITICIAS"/>
      <sheetName val="FINAL"/>
      <sheetName val="LR"/>
      <sheetName val="Resumen Seguridad"/>
      <sheetName val="CURVA S"/>
      <sheetName val="Tiraje_Mix17"/>
      <sheetName val="AREAS_-_Chile15"/>
      <sheetName val="DISGREGADO_OBRA6"/>
      <sheetName val="DISG__Presup__Meta6"/>
      <sheetName val="Lista_Desplegable5"/>
      <sheetName val="LISTA_DE_CAUSAS5"/>
      <sheetName val="FLUJO_DE_PROVISIONES_PEN5"/>
      <sheetName val="Precio_de_Venta3"/>
      <sheetName val="LOSA_ALIGERADA_FIRTH+10_53"/>
      <sheetName val="Info_Ayuda2"/>
      <sheetName val="ANÁLISIS_GG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METRADOS_ESTRUCTURAS_B-12"/>
      <sheetName val="4__FC2"/>
      <sheetName val="DAT3125_-_14"/>
      <sheetName val="DAT3635_-_14"/>
      <sheetName val="X__Auxiliar2"/>
      <sheetName val="RESUMEN_DE_COTIZACION3"/>
      <sheetName val="OBRA_CIVIL3"/>
      <sheetName val="ESTRUCTURA_DE_HORMIGON3"/>
      <sheetName val="INSTALACION_ELECTRICA3"/>
      <sheetName val="MAT_-_CI2"/>
      <sheetName val="Sol_Val2"/>
      <sheetName val="Res_Val2"/>
      <sheetName val="OBRAS_PROV__Y_PRELIM_2"/>
      <sheetName val="EST_ESCALERAS2"/>
      <sheetName val="PC-19053_RP_PURUCHUCO2"/>
      <sheetName val="GRAF_VG2"/>
      <sheetName val="BASE_DE_DATOS2"/>
      <sheetName val="BD_Prov2"/>
      <sheetName val="Hoja_de_Recursos"/>
      <sheetName val="Provisionales_"/>
      <sheetName val="17_Valorización"/>
      <sheetName val="Pisos_"/>
      <sheetName val="Zocalos_y_C_zoc_"/>
      <sheetName val="Vidrios_y_crist_"/>
      <sheetName val="Aparatos_sanit_"/>
      <sheetName val="1__Reporte_de_cantidades1"/>
      <sheetName val="Deduccion_Reajuste1"/>
      <sheetName val="FOLIO_368"/>
      <sheetName val="B_D_"/>
      <sheetName val="Attach 4-18"/>
      <sheetName val="GGRALES_12"/>
      <sheetName val="Documentos_Oficina_Tecnica_en11"/>
      <sheetName val="Curva_S_DAMRAISE10"/>
      <sheetName val="Electricidad_-_Climatización1"/>
      <sheetName val="IMPUTACIONES_ANALITICIAS"/>
      <sheetName val="GGRALES_13"/>
      <sheetName val="Documentos_Oficina_Tecnica_en12"/>
      <sheetName val="Curva_S_DAMRAISE11"/>
      <sheetName val="Electricidad_-_Climatización2"/>
      <sheetName val="IMPUTACIONES_ANALITICIAS1"/>
      <sheetName val="VIZ7"/>
      <sheetName val="VIZ4"/>
      <sheetName val="UZ"/>
      <sheetName val="SIN_IGV_GR_(2)"/>
      <sheetName val="ANALISIS_ALQUILER_FERREYROS"/>
      <sheetName val="Tiraje_Mix18"/>
      <sheetName val="AREAS_-_Chile16"/>
      <sheetName val="DISGREGADO_OBRA7"/>
      <sheetName val="DISG__Presup__Meta7"/>
      <sheetName val="Lista_Desplegable6"/>
      <sheetName val="FLUJO_DE_PROVISIONES_PEN6"/>
      <sheetName val="LISTA_DE_CAUSAS6"/>
      <sheetName val="Precio_de_Venta4"/>
      <sheetName val="LOSA_ALIGERADA_FIRTH+10_54"/>
      <sheetName val="METRADOS_ESTRUCTURAS_B-13"/>
      <sheetName val="ANÁLISIS_GG3"/>
      <sheetName val="RESUMEN_DE_COTIZACION4"/>
      <sheetName val="OBRA_CIVIL4"/>
      <sheetName val="ESTRUCTURA_DE_HORMIGON4"/>
      <sheetName val="INSTALACION_ELECTRICA4"/>
      <sheetName val="Info_Ayuda3"/>
      <sheetName val="4__FC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Sol_Val3"/>
      <sheetName val="Res_Val3"/>
      <sheetName val="OBRAS_PROV__Y_PRELIM_3"/>
      <sheetName val="EST_ESCALERAS3"/>
      <sheetName val="PC-19053_RP_PURUCHUCO3"/>
      <sheetName val="DAT3125_-_15"/>
      <sheetName val="DAT3635_-_15"/>
      <sheetName val="MAT_-_CI3"/>
      <sheetName val="X__Auxiliar3"/>
      <sheetName val="GRAF_VG3"/>
      <sheetName val="BASE_DE_DATOS3"/>
      <sheetName val="BD_Prov3"/>
      <sheetName val="Hoja_de_Recursos1"/>
      <sheetName val="Provisionales_1"/>
      <sheetName val="17_Valorización1"/>
      <sheetName val="B_D_1"/>
      <sheetName val="Pisos_1"/>
      <sheetName val="Zocalos_y_C_zoc_1"/>
      <sheetName val="Vidrios_y_crist_1"/>
      <sheetName val="Aparatos_sanit_1"/>
      <sheetName val="FOLIO_3681"/>
      <sheetName val="1__Reporte_de_cantidades2"/>
      <sheetName val="Deduccion_Reajuste2"/>
      <sheetName val="SIN_IGV_GR_(2)1"/>
      <sheetName val="ANALISIS_ALQUILER_FERREYROS1"/>
      <sheetName val="JULIO "/>
      <sheetName val="Resumen Observaciones"/>
      <sheetName val="Tiraje_Mix19"/>
      <sheetName val="AREAS_-_Chile17"/>
      <sheetName val="DISGREGADO_OBRA8"/>
      <sheetName val="DISG__Presup__Meta8"/>
      <sheetName val="Lista_Desplegable7"/>
      <sheetName val="FLUJO_DE_PROVISIONES_PEN7"/>
      <sheetName val="LISTA_DE_CAUSAS7"/>
      <sheetName val="Precio_de_Venta5"/>
      <sheetName val="LOSA_ALIGERADA_FIRTH+10_55"/>
      <sheetName val="4__FC4"/>
      <sheetName val="METRADOS_ESTRUCTURAS_B-1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ANÁLISIS_GG4"/>
      <sheetName val="Info_Ayuda4"/>
      <sheetName val="RESUMEN_DE_COTIZACION5"/>
      <sheetName val="OBRA_CIVIL5"/>
      <sheetName val="ESTRUCTURA_DE_HORMIGON5"/>
      <sheetName val="INSTALACION_ELECTRICA5"/>
      <sheetName val="MAT_-_CI4"/>
      <sheetName val="DAT3125_-_16"/>
      <sheetName val="DAT3635_-_16"/>
      <sheetName val="X__Auxiliar4"/>
      <sheetName val="Sol_Val4"/>
      <sheetName val="Res_Val4"/>
      <sheetName val="OBRAS_PROV__Y_PRELIM_4"/>
      <sheetName val="EST_ESCALERAS4"/>
      <sheetName val="PC-19053_RP_PURUCHUCO4"/>
      <sheetName val="BASE_DE_DATOS4"/>
      <sheetName val="BD_Prov4"/>
      <sheetName val="GRAF_VG4"/>
      <sheetName val="Hoja_de_Recursos2"/>
      <sheetName val="Provisionales_2"/>
      <sheetName val="17_Valorización2"/>
      <sheetName val="B_D_2"/>
      <sheetName val="1__Reporte_de_cantidades3"/>
      <sheetName val="Deduccion_Reajuste3"/>
      <sheetName val="Pisos_2"/>
      <sheetName val="Zocalos_y_C_zoc_2"/>
      <sheetName val="Vidrios_y_crist_2"/>
      <sheetName val="Aparatos_sanit_2"/>
      <sheetName val="FOLIO_3682"/>
      <sheetName val="ANALISIS_ALQUILER_FERREYROS2"/>
      <sheetName val="APF_-_APC"/>
      <sheetName val="RH_-_RS"/>
      <sheetName val="Gastos_Generales_"/>
      <sheetName val="Ciclo_abr-06"/>
      <sheetName val="SIN_IGV_GR_(2)2"/>
      <sheetName val="GGRALES_14"/>
      <sheetName val="Documentos_Oficina_Tecnica_en13"/>
      <sheetName val="Curva_S_DAMRAISE12"/>
      <sheetName val="Electricidad_-_Climatización3"/>
      <sheetName val="IMPUTACIONES_ANALITICIAS2"/>
      <sheetName val="Resumen_Seguridad"/>
      <sheetName val="CURVA_S"/>
      <sheetName val="JULIO_"/>
      <sheetName val="Resumen_Observaciones"/>
      <sheetName val="Attach_4-18"/>
      <sheetName val="Warehouses"/>
      <sheetName val="XREF"/>
      <sheetName val="CGN96.001"/>
      <sheetName val="Sheet2"/>
      <sheetName val="ANIM"/>
      <sheetName val="DIF FAT FEV 01"/>
      <sheetName val="PU Tunel"/>
      <sheetName val="LISTAS"/>
      <sheetName val="Precios Venta Directa"/>
      <sheetName val="PopCache"/>
      <sheetName val="Tiraje_Mix20"/>
      <sheetName val="AREAS_-_Chile18"/>
      <sheetName val="DISGREGADO_OBRA9"/>
      <sheetName val="DISG__Presup__Meta9"/>
      <sheetName val="Lista_Desplegable8"/>
      <sheetName val="FLUJO_DE_PROVISIONES_PEN8"/>
      <sheetName val="LISTA_DE_CAUSAS8"/>
      <sheetName val="Precio_de_Venta6"/>
      <sheetName val="LOSA_ALIGERADA_FIRTH+10_56"/>
      <sheetName val="4__FC5"/>
      <sheetName val="METRADOS_ESTRUCTURAS_B-1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ANÁLISIS_GG5"/>
      <sheetName val="Info_Ayuda5"/>
      <sheetName val="RESUMEN_DE_COTIZACION6"/>
      <sheetName val="OBRA_CIVIL6"/>
      <sheetName val="ESTRUCTURA_DE_HORMIGON6"/>
      <sheetName val="INSTALACION_ELECTRICA6"/>
      <sheetName val="MAT_-_CI5"/>
      <sheetName val="DAT3125_-_17"/>
      <sheetName val="DAT3635_-_17"/>
      <sheetName val="X__Auxiliar5"/>
      <sheetName val="Sol_Val5"/>
      <sheetName val="Res_Val5"/>
      <sheetName val="OBRAS_PROV__Y_PRELIM_5"/>
      <sheetName val="EST_ESCALERAS5"/>
      <sheetName val="PC-19053_RP_PURUCHUCO5"/>
      <sheetName val="BASE_DE_DATOS5"/>
      <sheetName val="BD_Prov5"/>
      <sheetName val="GRAF_VG5"/>
      <sheetName val="Hoja_de_Recursos3"/>
      <sheetName val="Provisionales_3"/>
      <sheetName val="17_Valorización3"/>
      <sheetName val="B_D_3"/>
      <sheetName val="1__Reporte_de_cantidades4"/>
      <sheetName val="Deduccion_Reajuste4"/>
      <sheetName val="Pisos_3"/>
      <sheetName val="Zocalos_y_C_zoc_3"/>
      <sheetName val="Vidrios_y_crist_3"/>
      <sheetName val="Aparatos_sanit_3"/>
      <sheetName val="FOLIO_3683"/>
      <sheetName val="ANALISIS_ALQUILER_FERREYROS3"/>
      <sheetName val="APF_-_APC1"/>
      <sheetName val="RH_-_RS1"/>
      <sheetName val="Gastos_Generales_1"/>
      <sheetName val="Ciclo_abr-061"/>
      <sheetName val="SIN_IGV_GR_(2)3"/>
      <sheetName val="GGRALES_15"/>
      <sheetName val="Documentos_Oficina_Tecnica_en14"/>
      <sheetName val="Curva_S_DAMRAISE13"/>
      <sheetName val="Electricidad_-_Climatización4"/>
      <sheetName val="IMPUTACIONES_ANALITICIAS3"/>
      <sheetName val="Resumen_Seguridad1"/>
      <sheetName val="CURVA_S1"/>
      <sheetName val="JULIO_1"/>
      <sheetName val="Resumen_Observaciones1"/>
      <sheetName val="Attach_4-181"/>
      <sheetName val="CGN96_001"/>
      <sheetName val="DIF_FAT_FEV_01"/>
      <sheetName val="PU_Tunel"/>
      <sheetName val="Precios_Venta_Directa"/>
      <sheetName val="F 01"/>
      <sheetName val="datos g"/>
      <sheetName val="Tiraje_Mix21"/>
      <sheetName val="AREAS_-_Chile19"/>
      <sheetName val="DISGREGADO_OBRA10"/>
      <sheetName val="DISG__Presup__Meta10"/>
      <sheetName val="Lista_Desplegable9"/>
      <sheetName val="FLUJO_DE_PROVISIONES_PEN9"/>
      <sheetName val="LISTA_DE_CAUSAS9"/>
      <sheetName val="Precio_de_Venta7"/>
      <sheetName val="LOSA_ALIGERADA_FIRTH+10_57"/>
      <sheetName val="4__FC6"/>
      <sheetName val="METRADOS_ESTRUCTURAS_B-1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ANÁLISIS_GG6"/>
      <sheetName val="Info_Ayuda6"/>
      <sheetName val="RESUMEN_DE_COTIZACION7"/>
      <sheetName val="OBRA_CIVIL7"/>
      <sheetName val="ESTRUCTURA_DE_HORMIGON7"/>
      <sheetName val="INSTALACION_ELECTRICA7"/>
      <sheetName val="MAT_-_CI6"/>
      <sheetName val="DAT3125_-_18"/>
      <sheetName val="DAT3635_-_18"/>
      <sheetName val="Sol_Val6"/>
      <sheetName val="Res_Val6"/>
      <sheetName val="OBRAS_PROV__Y_PRELIM_6"/>
      <sheetName val="EST_ESCALERAS6"/>
      <sheetName val="PC-19053_RP_PURUCHUCO6"/>
      <sheetName val="X__Auxiliar6"/>
      <sheetName val="BASE_DE_DATOS6"/>
      <sheetName val="GRAF_VG6"/>
      <sheetName val="BD_Prov6"/>
      <sheetName val="Hoja_de_Recursos4"/>
      <sheetName val="Provisionales_4"/>
      <sheetName val="17_Valorización4"/>
      <sheetName val="Pisos_4"/>
      <sheetName val="Zocalos_y_C_zoc_4"/>
      <sheetName val="Vidrios_y_crist_4"/>
      <sheetName val="Aparatos_sanit_4"/>
      <sheetName val="FOLIO_3684"/>
      <sheetName val="1__Reporte_de_cantidades5"/>
      <sheetName val="Deduccion_Reajuste5"/>
      <sheetName val="B_D_4"/>
      <sheetName val="PPC 23.09 al 28.09 "/>
      <sheetName val="01Edif"/>
      <sheetName val="HistConf"/>
      <sheetName val="Postes de concreto 3ø 35mm²_N"/>
      <sheetName val="Anexo F.3.1 "/>
      <sheetName val="EQ.T.PROYECT"/>
      <sheetName val="EQUIPOS"/>
      <sheetName val="MAT-EQUIPOS"/>
      <sheetName val="F-05"/>
      <sheetName val="APus"/>
      <sheetName val="NRM"/>
      <sheetName val="F_01"/>
      <sheetName val="datos_g"/>
      <sheetName val="pu Estructuras"/>
      <sheetName val="Flota"/>
      <sheetName val="Datos-No imprimir"/>
      <sheetName val="INST.ELECTRICAS"/>
      <sheetName val="INST.SANITARIAS"/>
      <sheetName val="DATOS TECNICOS SE SANTUARIO"/>
      <sheetName val="PROC MANT LT 1"/>
      <sheetName val="0.Parametros"/>
      <sheetName val="APF_-_APC2"/>
      <sheetName val="RH_-_RS2"/>
      <sheetName val="Gastos_Generales_2"/>
      <sheetName val="Ciclo_abr-062"/>
      <sheetName val="Resumen_Seguridad2"/>
      <sheetName val="CURVA_S2"/>
      <sheetName val="fp"/>
      <sheetName val="STRSUMM0"/>
      <sheetName val="ANALISIS_ALQUILER_FERREYROS4"/>
      <sheetName val="Globales"/>
      <sheetName val="Datos "/>
      <sheetName val="Grupo Artículos"/>
      <sheetName val="Pef"/>
      <sheetName val="E-2"/>
      <sheetName val="Input.Op"/>
      <sheetName val="p.mgmt"/>
      <sheetName val="Efecto Ley sobre Rdto."/>
      <sheetName val="PERSONNELIST"/>
      <sheetName val="#REF"/>
      <sheetName val="FlujoTJ"/>
      <sheetName val="Listes"/>
      <sheetName val="FitOutConfCentre"/>
      <sheetName val="Netearnanal"/>
      <sheetName val="Proposta"/>
      <sheetName val="Dados"/>
      <sheetName val="Precios"/>
      <sheetName val="Instru Correa"/>
      <sheetName val="BD_Prov7"/>
      <sheetName val="BASE_DE_DATOS7"/>
      <sheetName val="Datos_"/>
      <sheetName val="Grupo_Artículos"/>
      <sheetName val="BD_Prov8"/>
      <sheetName val="BASE_DE_DATOS8"/>
      <sheetName val="Datos_1"/>
      <sheetName val="Grupo_Artículos1"/>
      <sheetName val="DAT3125_-_19"/>
      <sheetName val="DAT3635_-_19"/>
      <sheetName val="BD_Prov9"/>
      <sheetName val="BASE_DE_DATOS9"/>
      <sheetName val="Datos_2"/>
      <sheetName val="Grupo_Artículos2"/>
      <sheetName val="Tiraje_Mix22"/>
      <sheetName val="AREAS_-_Chile20"/>
      <sheetName val="DISGREGADO_OBRA11"/>
      <sheetName val="DISG__Presup__Meta11"/>
      <sheetName val="Lista_Desplegable10"/>
      <sheetName val="LISTA_DE_CAUSAS10"/>
      <sheetName val="FLUJO_DE_PROVISIONES_PEN10"/>
      <sheetName val="DAT3125_-_110"/>
      <sheetName val="DAT3635_-_110"/>
      <sheetName val="BD_Prov10"/>
      <sheetName val="BASE_DE_DATOS10"/>
      <sheetName val="APF_-_APC3"/>
      <sheetName val="RH_-_RS3"/>
      <sheetName val="Gastos_Generales_3"/>
      <sheetName val="Datos_3"/>
      <sheetName val="Grupo_Artículos3"/>
      <sheetName val="Presupuesto de Obra (5)"/>
      <sheetName val="APU"/>
      <sheetName val="% Total Ejecucion (3)"/>
      <sheetName val="PROGRAMACION"/>
      <sheetName val="HITOS"/>
      <sheetName val="GRAFICA"/>
      <sheetName val="Cant. Mamposteria"/>
      <sheetName val="ETAPA 50 SMMLV"/>
      <sheetName val="Ciclo_abr-063"/>
      <sheetName val="Resumen_Seguridad3"/>
      <sheetName val="CURVA_S3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/>
      <sheetData sheetId="149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 refreshError="1"/>
      <sheetData sheetId="163" refreshError="1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/>
      <sheetData sheetId="654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 refreshError="1"/>
      <sheetData sheetId="670" refreshError="1"/>
      <sheetData sheetId="67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 refreshError="1"/>
      <sheetData sheetId="728"/>
      <sheetData sheetId="729"/>
      <sheetData sheetId="73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ncofrado BVR Unispan"/>
      <sheetName val="Concreto"/>
      <sheetName val="Equipo de apuntalemiento"/>
      <sheetName val="Gastos Generales BVR"/>
      <sheetName val="Planilla"/>
      <sheetName val="BVR con Efco"/>
      <sheetName val="Encofrado"/>
      <sheetName val="Hoja3"/>
      <sheetName val="RESUMEN"/>
      <sheetName val="Hoja1"/>
      <sheetName val="Chart"/>
      <sheetName val="Encofrado_BVR_Unispan"/>
      <sheetName val="Equipo_de_apuntalemiento"/>
      <sheetName val="Gastos_Generales_BVR"/>
      <sheetName val="BVR_con_Efco"/>
      <sheetName val="puni"/>
      <sheetName val="TIPO CAMBIO"/>
      <sheetName val="Tiraje Mix"/>
      <sheetName val="EQ"/>
      <sheetName val="MAT"/>
      <sheetName val="MO"/>
      <sheetName val="SC"/>
      <sheetName val="HORA"/>
      <sheetName val="MAT."/>
      <sheetName val="Encofrado_BVR_Unispan1"/>
      <sheetName val="Equipo_de_apuntalemiento1"/>
      <sheetName val="Gastos_Generales_BVR1"/>
      <sheetName val="BVR_con_Efco1"/>
      <sheetName val="TIPO_CAMBIO"/>
      <sheetName val="Tiraje_Mix"/>
      <sheetName val="Encofrado_BVR_Unispan2"/>
      <sheetName val="Equipo_de_apuntalemiento2"/>
      <sheetName val="Gastos_Generales_BVR2"/>
      <sheetName val="BVR_con_Efco2"/>
      <sheetName val="TIPO_CAMBIO1"/>
      <sheetName val="Tiraje_Mix1"/>
      <sheetName val="ECC"/>
      <sheetName val="CONDUCT."/>
      <sheetName val="HM"/>
      <sheetName val="conductores volquetes"/>
      <sheetName val="Tablas"/>
      <sheetName val="#¡REF"/>
      <sheetName val="PLANILLAS FORMATEADAS"/>
      <sheetName val="CONFIGURACIÓN"/>
      <sheetName val="CONTEO DE DATOS"/>
      <sheetName val="RESUMEN DE PARTIDAS"/>
      <sheetName val="Detail"/>
      <sheetName val="Observaciones"/>
      <sheetName val="Planos"/>
      <sheetName val="9.1A"/>
      <sheetName val="9.2A"/>
      <sheetName val="9.3A"/>
      <sheetName val="9.4A"/>
      <sheetName val="9.5A"/>
      <sheetName val="9.6A"/>
      <sheetName val="9.7A"/>
      <sheetName val="9.8A"/>
      <sheetName val="9.9A"/>
      <sheetName val="9.10A"/>
      <sheetName val="9.11A"/>
      <sheetName val="9.12A"/>
      <sheetName val="1.1A"/>
      <sheetName val="1.2A"/>
      <sheetName val="1.3A"/>
      <sheetName val="1.4A"/>
      <sheetName val="2.1A"/>
      <sheetName val="2.2A"/>
      <sheetName val="2.3A"/>
      <sheetName val="3.1A"/>
      <sheetName val="3.2A"/>
      <sheetName val="3.3A"/>
      <sheetName val="4.1A"/>
      <sheetName val="4.2A"/>
      <sheetName val="4.3A"/>
      <sheetName val="5.1A"/>
      <sheetName val="5.2A"/>
      <sheetName val="5.3A"/>
      <sheetName val="6.1A"/>
      <sheetName val="6.2A"/>
      <sheetName val="6.3A"/>
      <sheetName val="7.1A"/>
      <sheetName val="7.2A"/>
      <sheetName val="7.3A"/>
      <sheetName val="8.1A"/>
      <sheetName val="8.2A"/>
      <sheetName val="Resumen 2"/>
      <sheetName val="Resumen 1"/>
      <sheetName val="9.1"/>
      <sheetName val="9.2"/>
      <sheetName val="9.3"/>
      <sheetName val="9.4"/>
      <sheetName val="9.5"/>
      <sheetName val="9.6"/>
      <sheetName val="9.7"/>
      <sheetName val="9.8"/>
      <sheetName val="9.9"/>
      <sheetName val="9.10"/>
      <sheetName val="9.11"/>
      <sheetName val="9.12"/>
      <sheetName val="9.13"/>
      <sheetName val="1.1"/>
      <sheetName val="1.2"/>
      <sheetName val="1.3"/>
      <sheetName val="2.1"/>
      <sheetName val="2.2"/>
      <sheetName val="2.3"/>
      <sheetName val="3.1"/>
      <sheetName val="3.2"/>
      <sheetName val="3.3"/>
      <sheetName val="4.1"/>
      <sheetName val="4.2"/>
      <sheetName val="4.3"/>
      <sheetName val="5.1"/>
      <sheetName val="5.2"/>
      <sheetName val="5.3"/>
      <sheetName val="6.0"/>
      <sheetName val="6.1"/>
      <sheetName val="6.2"/>
      <sheetName val="6.3"/>
      <sheetName val="7.1"/>
      <sheetName val="7.2"/>
      <sheetName val="7.3"/>
      <sheetName val="8.1"/>
      <sheetName val="8.2"/>
      <sheetName val="datos"/>
      <sheetName val="Piso 2-5"/>
      <sheetName val="Encofrado_BVR_Unispan5"/>
      <sheetName val="Equipo_de_apuntalemiento5"/>
      <sheetName val="Gastos_Generales_BVR5"/>
      <sheetName val="BVR_con_Efco5"/>
      <sheetName val="TIPO_CAMBIO4"/>
      <sheetName val="Tiraje_Mix4"/>
      <sheetName val="MAT_4"/>
      <sheetName val="MAT_"/>
      <sheetName val="MAT_1"/>
      <sheetName val="Encofrado_BVR_Unispan3"/>
      <sheetName val="Equipo_de_apuntalemiento3"/>
      <sheetName val="Gastos_Generales_BVR3"/>
      <sheetName val="BVR_con_Efco3"/>
      <sheetName val="TIPO_CAMBIO2"/>
      <sheetName val="Tiraje_Mix2"/>
      <sheetName val="MAT_2"/>
      <sheetName val="Encofrado_BVR_Unispan4"/>
      <sheetName val="Equipo_de_apuntalemiento4"/>
      <sheetName val="Gastos_Generales_BVR4"/>
      <sheetName val="BVR_con_Efco4"/>
      <sheetName val="TIPO_CAMBIO3"/>
      <sheetName val="Tiraje_Mix3"/>
      <sheetName val="MAT_3"/>
      <sheetName val="Encofrado_BVR_Unispan9"/>
      <sheetName val="Equipo_de_apuntalemiento9"/>
      <sheetName val="Gastos_Generales_BVR9"/>
      <sheetName val="BVR_con_Efco9"/>
      <sheetName val="TIPO_CAMBIO8"/>
      <sheetName val="Tiraje_Mix8"/>
      <sheetName val="MAT_8"/>
      <sheetName val="Encofrado_BVR_Unispan6"/>
      <sheetName val="Equipo_de_apuntalemiento6"/>
      <sheetName val="Gastos_Generales_BVR6"/>
      <sheetName val="BVR_con_Efco6"/>
      <sheetName val="TIPO_CAMBIO5"/>
      <sheetName val="Tiraje_Mix5"/>
      <sheetName val="MAT_5"/>
      <sheetName val="Encofrado_BVR_Unispan7"/>
      <sheetName val="Equipo_de_apuntalemiento7"/>
      <sheetName val="Gastos_Generales_BVR7"/>
      <sheetName val="BVR_con_Efco7"/>
      <sheetName val="TIPO_CAMBIO6"/>
      <sheetName val="Tiraje_Mix6"/>
      <sheetName val="MAT_6"/>
      <sheetName val="Encofrado_BVR_Unispan8"/>
      <sheetName val="Equipo_de_apuntalemiento8"/>
      <sheetName val="Gastos_Generales_BVR8"/>
      <sheetName val="BVR_con_Efco8"/>
      <sheetName val="TIPO_CAMBIO7"/>
      <sheetName val="Tiraje_Mix7"/>
      <sheetName val="MAT_7"/>
      <sheetName val="Encofrado_BVR_Unispan10"/>
      <sheetName val="Equipo_de_apuntalemiento10"/>
      <sheetName val="Gastos_Generales_BVR10"/>
      <sheetName val="BVR_con_Efco10"/>
      <sheetName val="TIPO_CAMBIO9"/>
      <sheetName val="Tiraje_Mix9"/>
      <sheetName val="MAT_9"/>
      <sheetName val="CONDUCT_"/>
      <sheetName val="conductores_volquetes"/>
      <sheetName val="PLANILLAS_FORMATEADAS"/>
      <sheetName val="CONTEO_DE_DATOS"/>
      <sheetName val="RESUMEN_DE_PARTIDAS"/>
      <sheetName val="9_1A"/>
      <sheetName val="9_2A"/>
      <sheetName val="9_3A"/>
      <sheetName val="9_4A"/>
      <sheetName val="9_5A"/>
      <sheetName val="9_6A"/>
      <sheetName val="9_7A"/>
      <sheetName val="9_8A"/>
      <sheetName val="9_9A"/>
      <sheetName val="9_10A"/>
      <sheetName val="9_11A"/>
      <sheetName val="9_12A"/>
      <sheetName val="1_1A"/>
      <sheetName val="1_2A"/>
      <sheetName val="1_3A"/>
      <sheetName val="1_4A"/>
      <sheetName val="2_1A"/>
      <sheetName val="2_2A"/>
      <sheetName val="2_3A"/>
      <sheetName val="3_1A"/>
      <sheetName val="3_2A"/>
      <sheetName val="3_3A"/>
      <sheetName val="4_1A"/>
      <sheetName val="4_2A"/>
      <sheetName val="4_3A"/>
      <sheetName val="5_1A"/>
      <sheetName val="5_2A"/>
      <sheetName val="5_3A"/>
      <sheetName val="6_1A"/>
      <sheetName val="6_2A"/>
      <sheetName val="6_3A"/>
      <sheetName val="7_1A"/>
      <sheetName val="7_2A"/>
      <sheetName val="7_3A"/>
      <sheetName val="8_1A"/>
      <sheetName val="8_2A"/>
      <sheetName val="Resumen_2"/>
      <sheetName val="Resumen_1"/>
      <sheetName val="9_1"/>
      <sheetName val="9_2"/>
      <sheetName val="9_3"/>
      <sheetName val="9_4"/>
      <sheetName val="9_5"/>
      <sheetName val="9_6"/>
      <sheetName val="9_7"/>
      <sheetName val="9_8"/>
      <sheetName val="9_9"/>
      <sheetName val="9_10"/>
      <sheetName val="9_11"/>
      <sheetName val="9_12"/>
      <sheetName val="9_13"/>
      <sheetName val="1_1"/>
      <sheetName val="1_2"/>
      <sheetName val="1_3"/>
      <sheetName val="2_1"/>
      <sheetName val="2_2"/>
      <sheetName val="2_3"/>
      <sheetName val="3_1"/>
      <sheetName val="3_2"/>
      <sheetName val="3_3"/>
      <sheetName val="4_1"/>
      <sheetName val="4_2"/>
      <sheetName val="4_3"/>
      <sheetName val="5_1"/>
      <sheetName val="5_2"/>
      <sheetName val="5_3"/>
      <sheetName val="6_0"/>
      <sheetName val="6_1"/>
      <sheetName val="6_2"/>
      <sheetName val="6_3"/>
      <sheetName val="7_1"/>
      <sheetName val="7_2"/>
      <sheetName val="7_3"/>
      <sheetName val="8_1"/>
      <sheetName val="8_2"/>
      <sheetName val="N°1"/>
      <sheetName val="CONDUCT_1"/>
      <sheetName val="conductores_volquetes1"/>
      <sheetName val="PLANILLAS_FORMATEADAS1"/>
      <sheetName val="CONTEO_DE_DATOS1"/>
      <sheetName val="RESUMEN_DE_PARTIDAS1"/>
      <sheetName val="Piso_2-5"/>
      <sheetName val="9_1A1"/>
      <sheetName val="9_2A1"/>
      <sheetName val="9_3A1"/>
      <sheetName val="9_4A1"/>
      <sheetName val="9_5A1"/>
      <sheetName val="9_6A1"/>
      <sheetName val="9_7A1"/>
      <sheetName val="9_8A1"/>
      <sheetName val="9_9A1"/>
      <sheetName val="9_10A1"/>
      <sheetName val="9_11A1"/>
      <sheetName val="9_12A1"/>
      <sheetName val="1_1A1"/>
      <sheetName val="1_2A1"/>
      <sheetName val="1_3A1"/>
      <sheetName val="1_4A1"/>
      <sheetName val="2_1A1"/>
      <sheetName val="2_2A1"/>
      <sheetName val="2_3A1"/>
      <sheetName val="3_1A1"/>
      <sheetName val="3_2A1"/>
      <sheetName val="3_3A1"/>
      <sheetName val="4_1A1"/>
      <sheetName val="4_2A1"/>
      <sheetName val="4_3A1"/>
      <sheetName val="5_1A1"/>
      <sheetName val="5_2A1"/>
      <sheetName val="5_3A1"/>
      <sheetName val="6_1A1"/>
      <sheetName val="6_2A1"/>
      <sheetName val="6_3A1"/>
      <sheetName val="7_1A1"/>
      <sheetName val="7_2A1"/>
      <sheetName val="7_3A1"/>
      <sheetName val="8_1A1"/>
      <sheetName val="8_2A1"/>
      <sheetName val="Resumen_21"/>
      <sheetName val="Resumen_11"/>
      <sheetName val="9_14"/>
      <sheetName val="9_21"/>
      <sheetName val="9_31"/>
      <sheetName val="9_41"/>
      <sheetName val="9_51"/>
      <sheetName val="9_61"/>
      <sheetName val="9_71"/>
      <sheetName val="9_81"/>
      <sheetName val="9_91"/>
      <sheetName val="9_101"/>
      <sheetName val="9_111"/>
      <sheetName val="9_121"/>
      <sheetName val="9_131"/>
      <sheetName val="1_11"/>
      <sheetName val="1_21"/>
      <sheetName val="1_31"/>
      <sheetName val="2_11"/>
      <sheetName val="2_21"/>
      <sheetName val="2_31"/>
      <sheetName val="3_11"/>
      <sheetName val="3_21"/>
      <sheetName val="3_31"/>
      <sheetName val="4_11"/>
      <sheetName val="4_21"/>
      <sheetName val="4_31"/>
      <sheetName val="5_11"/>
      <sheetName val="5_21"/>
      <sheetName val="5_31"/>
      <sheetName val="6_01"/>
      <sheetName val="6_11"/>
      <sheetName val="6_21"/>
      <sheetName val="6_31"/>
      <sheetName val="7_11"/>
      <sheetName val="7_21"/>
      <sheetName val="7_31"/>
      <sheetName val="8_11"/>
      <sheetName val="8_21"/>
      <sheetName val="cie10"/>
      <sheetName val="Hoja2"/>
      <sheetName val="Encofrado_BVR_Unispan11"/>
      <sheetName val="Equipo_de_apuntalemiento11"/>
      <sheetName val="Gastos_Generales_BVR11"/>
      <sheetName val="BVR_con_Efco11"/>
      <sheetName val="TIPO_CAMBIO10"/>
      <sheetName val="Tiraje_Mix10"/>
      <sheetName val="MAT_10"/>
      <sheetName val="Encofrado_BVR_Unispan12"/>
      <sheetName val="Equipo_de_apuntalemiento12"/>
      <sheetName val="Gastos_Generales_BVR12"/>
      <sheetName val="BVR_con_Efco12"/>
      <sheetName val="TIPO_CAMBIO11"/>
      <sheetName val="Tiraje_Mix11"/>
      <sheetName val="MAT_11"/>
      <sheetName val="Piso_2-51"/>
      <sheetName val="Encofrado_BVR_Unispan13"/>
      <sheetName val="Equipo_de_apuntalemiento13"/>
      <sheetName val="Gastos_Generales_BVR13"/>
      <sheetName val="BVR_con_Efco13"/>
      <sheetName val="TIPO_CAMBIO12"/>
      <sheetName val="Tiraje_Mix12"/>
      <sheetName val="MAT_12"/>
      <sheetName val="CONDUCT_2"/>
      <sheetName val="conductores_volquetes2"/>
      <sheetName val="Piso_2-52"/>
      <sheetName val="PLANILLAS_FORMATEADAS2"/>
      <sheetName val="CONTEO_DE_DATOS2"/>
      <sheetName val="RESUMEN_DE_PARTIDAS2"/>
      <sheetName val="9_1A2"/>
      <sheetName val="9_2A2"/>
      <sheetName val="9_3A2"/>
      <sheetName val="9_4A2"/>
      <sheetName val="9_5A2"/>
      <sheetName val="9_6A2"/>
      <sheetName val="9_7A2"/>
      <sheetName val="9_8A2"/>
      <sheetName val="9_9A2"/>
      <sheetName val="9_10A2"/>
      <sheetName val="9_11A2"/>
      <sheetName val="9_12A2"/>
      <sheetName val="1_1A2"/>
      <sheetName val="1_2A2"/>
      <sheetName val="1_3A2"/>
      <sheetName val="1_4A2"/>
      <sheetName val="2_1A2"/>
      <sheetName val="2_2A2"/>
      <sheetName val="2_3A2"/>
      <sheetName val="3_1A2"/>
      <sheetName val="3_2A2"/>
      <sheetName val="3_3A2"/>
      <sheetName val="4_1A2"/>
      <sheetName val="4_2A2"/>
      <sheetName val="4_3A2"/>
      <sheetName val="5_1A2"/>
      <sheetName val="5_2A2"/>
      <sheetName val="5_3A2"/>
      <sheetName val="6_1A2"/>
      <sheetName val="6_2A2"/>
      <sheetName val="6_3A2"/>
      <sheetName val="7_1A2"/>
      <sheetName val="7_2A2"/>
      <sheetName val="7_3A2"/>
      <sheetName val="8_1A2"/>
      <sheetName val="8_2A2"/>
      <sheetName val="Resumen_22"/>
      <sheetName val="Resumen_12"/>
      <sheetName val="9_15"/>
      <sheetName val="9_22"/>
      <sheetName val="9_32"/>
      <sheetName val="9_42"/>
      <sheetName val="9_52"/>
      <sheetName val="9_62"/>
      <sheetName val="9_72"/>
      <sheetName val="9_82"/>
      <sheetName val="9_92"/>
      <sheetName val="9_102"/>
      <sheetName val="9_112"/>
      <sheetName val="9_122"/>
      <sheetName val="9_132"/>
      <sheetName val="1_12"/>
      <sheetName val="1_22"/>
      <sheetName val="1_32"/>
      <sheetName val="2_12"/>
      <sheetName val="2_22"/>
      <sheetName val="2_32"/>
      <sheetName val="3_12"/>
      <sheetName val="3_22"/>
      <sheetName val="3_32"/>
      <sheetName val="4_12"/>
      <sheetName val="4_22"/>
      <sheetName val="4_32"/>
      <sheetName val="5_12"/>
      <sheetName val="5_22"/>
      <sheetName val="5_32"/>
      <sheetName val="6_02"/>
      <sheetName val="6_12"/>
      <sheetName val="6_22"/>
      <sheetName val="6_32"/>
      <sheetName val="7_12"/>
      <sheetName val="7_22"/>
      <sheetName val="7_32"/>
      <sheetName val="8_12"/>
      <sheetName val="8_22"/>
      <sheetName val=""/>
      <sheetName val="Liebman 134"/>
      <sheetName val="EDT"/>
      <sheetName val="PROYECTOS 2015 "/>
      <sheetName val="LISTAS"/>
      <sheetName val="BASES"/>
      <sheetName val="Ins"/>
      <sheetName val="$HH"/>
      <sheetName val="METRADO"/>
      <sheetName val="Pintura"/>
      <sheetName val="P U "/>
      <sheetName val="G G ESTRUC."/>
      <sheetName val="RESUMEN CLIENTE"/>
      <sheetName val="RES"/>
      <sheetName val="ResValori-facturado"/>
      <sheetName val="Cont"/>
      <sheetName val="Ded"/>
      <sheetName val="AC1"/>
      <sheetName val="AC2"/>
      <sheetName val="AC3"/>
      <sheetName val="AC4"/>
      <sheetName val="AC5"/>
      <sheetName val="AC6"/>
      <sheetName val="AC7"/>
      <sheetName val="AC8"/>
      <sheetName val="AM1"/>
      <sheetName val="AM2"/>
      <sheetName val="C1"/>
      <sheetName val="C2"/>
      <sheetName val="Hoja4"/>
      <sheetName val="pu Estructuras"/>
      <sheetName val="CI"/>
      <sheetName val="G"/>
      <sheetName val="ANÁLISIS GG"/>
      <sheetName val="Tuberia"/>
      <sheetName val="A_50"/>
      <sheetName val="Riesgos"/>
      <sheetName val="Encofrado_BVR_Unispan14"/>
      <sheetName val="Equipo_de_apuntalemiento14"/>
      <sheetName val="Gastos_Generales_BVR14"/>
      <sheetName val="BVR_con_Efco14"/>
      <sheetName val="TIPO_CAMBIO13"/>
      <sheetName val="Tiraje_Mix13"/>
      <sheetName val="MAT_13"/>
      <sheetName val="CONDUCT_3"/>
      <sheetName val="conductores_volquetes3"/>
      <sheetName val="PLANILLAS_FORMATEADAS3"/>
      <sheetName val="CONTEO_DE_DATOS3"/>
      <sheetName val="RESUMEN_DE_PARTIDAS3"/>
      <sheetName val="Piso_2-53"/>
      <sheetName val="9_1A3"/>
      <sheetName val="9_2A3"/>
      <sheetName val="9_3A3"/>
      <sheetName val="9_4A3"/>
      <sheetName val="9_5A3"/>
      <sheetName val="9_6A3"/>
      <sheetName val="9_7A3"/>
      <sheetName val="9_8A3"/>
      <sheetName val="9_9A3"/>
      <sheetName val="9_10A3"/>
      <sheetName val="9_11A3"/>
      <sheetName val="9_12A3"/>
      <sheetName val="1_1A3"/>
      <sheetName val="1_2A3"/>
      <sheetName val="1_3A3"/>
      <sheetName val="1_4A3"/>
      <sheetName val="2_1A3"/>
      <sheetName val="2_2A3"/>
      <sheetName val="2_3A3"/>
      <sheetName val="3_1A3"/>
      <sheetName val="3_2A3"/>
      <sheetName val="3_3A3"/>
      <sheetName val="4_1A3"/>
      <sheetName val="4_2A3"/>
      <sheetName val="4_3A3"/>
      <sheetName val="5_1A3"/>
      <sheetName val="5_2A3"/>
      <sheetName val="5_3A3"/>
      <sheetName val="6_1A3"/>
      <sheetName val="6_2A3"/>
      <sheetName val="6_3A3"/>
      <sheetName val="7_1A3"/>
      <sheetName val="7_2A3"/>
      <sheetName val="7_3A3"/>
      <sheetName val="8_1A3"/>
      <sheetName val="8_2A3"/>
      <sheetName val="Resumen_23"/>
      <sheetName val="Resumen_13"/>
      <sheetName val="9_16"/>
      <sheetName val="9_23"/>
      <sheetName val="9_33"/>
      <sheetName val="9_43"/>
      <sheetName val="9_53"/>
      <sheetName val="9_63"/>
      <sheetName val="9_73"/>
      <sheetName val="9_83"/>
      <sheetName val="9_93"/>
      <sheetName val="9_103"/>
      <sheetName val="9_113"/>
      <sheetName val="9_123"/>
      <sheetName val="9_133"/>
      <sheetName val="1_13"/>
      <sheetName val="1_23"/>
      <sheetName val="1_33"/>
      <sheetName val="2_13"/>
      <sheetName val="2_23"/>
      <sheetName val="2_33"/>
      <sheetName val="3_13"/>
      <sheetName val="3_23"/>
      <sheetName val="3_33"/>
      <sheetName val="4_13"/>
      <sheetName val="4_23"/>
      <sheetName val="4_33"/>
      <sheetName val="5_13"/>
      <sheetName val="5_23"/>
      <sheetName val="5_33"/>
      <sheetName val="6_03"/>
      <sheetName val="6_13"/>
      <sheetName val="6_23"/>
      <sheetName val="6_33"/>
      <sheetName val="7_13"/>
      <sheetName val="7_23"/>
      <sheetName val="7_33"/>
      <sheetName val="8_13"/>
      <sheetName val="8_23"/>
      <sheetName val="Encofrado_BVR_Unispan15"/>
      <sheetName val="Equipo_de_apuntalemiento15"/>
      <sheetName val="Gastos_Generales_BVR15"/>
      <sheetName val="BVR_con_Efco15"/>
      <sheetName val="TIPO_CAMBIO14"/>
      <sheetName val="Tiraje_Mix14"/>
      <sheetName val="MAT_14"/>
      <sheetName val="CONDUCT_4"/>
      <sheetName val="conductores_volquetes4"/>
      <sheetName val="PLANILLAS_FORMATEADAS4"/>
      <sheetName val="CONTEO_DE_DATOS4"/>
      <sheetName val="RESUMEN_DE_PARTIDAS4"/>
      <sheetName val="Piso_2-54"/>
      <sheetName val="9_1A4"/>
      <sheetName val="9_2A4"/>
      <sheetName val="9_3A4"/>
      <sheetName val="9_4A4"/>
      <sheetName val="9_5A4"/>
      <sheetName val="9_6A4"/>
      <sheetName val="9_7A4"/>
      <sheetName val="9_8A4"/>
      <sheetName val="9_9A4"/>
      <sheetName val="9_10A4"/>
      <sheetName val="9_11A4"/>
      <sheetName val="9_12A4"/>
      <sheetName val="1_1A4"/>
      <sheetName val="1_2A4"/>
      <sheetName val="1_3A4"/>
      <sheetName val="1_4A4"/>
      <sheetName val="2_1A4"/>
      <sheetName val="2_2A4"/>
      <sheetName val="2_3A4"/>
      <sheetName val="3_1A4"/>
      <sheetName val="3_2A4"/>
      <sheetName val="3_3A4"/>
      <sheetName val="4_1A4"/>
      <sheetName val="4_2A4"/>
      <sheetName val="4_3A4"/>
      <sheetName val="5_1A4"/>
      <sheetName val="5_2A4"/>
      <sheetName val="5_3A4"/>
      <sheetName val="6_1A4"/>
      <sheetName val="6_2A4"/>
      <sheetName val="6_3A4"/>
      <sheetName val="7_1A4"/>
      <sheetName val="7_2A4"/>
      <sheetName val="7_3A4"/>
      <sheetName val="8_1A4"/>
      <sheetName val="8_2A4"/>
      <sheetName val="Resumen_24"/>
      <sheetName val="Resumen_14"/>
      <sheetName val="9_17"/>
      <sheetName val="9_24"/>
      <sheetName val="9_34"/>
      <sheetName val="9_44"/>
      <sheetName val="9_54"/>
      <sheetName val="9_64"/>
      <sheetName val="9_74"/>
      <sheetName val="9_84"/>
      <sheetName val="9_94"/>
      <sheetName val="9_104"/>
      <sheetName val="9_114"/>
      <sheetName val="9_124"/>
      <sheetName val="9_134"/>
      <sheetName val="1_14"/>
      <sheetName val="1_24"/>
      <sheetName val="1_34"/>
      <sheetName val="2_14"/>
      <sheetName val="2_24"/>
      <sheetName val="2_34"/>
      <sheetName val="3_14"/>
      <sheetName val="3_24"/>
      <sheetName val="3_34"/>
      <sheetName val="4_14"/>
      <sheetName val="4_24"/>
      <sheetName val="4_34"/>
      <sheetName val="5_14"/>
      <sheetName val="5_24"/>
      <sheetName val="5_34"/>
      <sheetName val="6_04"/>
      <sheetName val="6_14"/>
      <sheetName val="6_24"/>
      <sheetName val="6_34"/>
      <sheetName val="7_14"/>
      <sheetName val="7_24"/>
      <sheetName val="7_34"/>
      <sheetName val="8_14"/>
      <sheetName val="8_24"/>
      <sheetName val="Encofrado_BVR_Unispan17"/>
      <sheetName val="Equipo_de_apuntalemiento17"/>
      <sheetName val="Gastos_Generales_BVR17"/>
      <sheetName val="BVR_con_Efco17"/>
      <sheetName val="TIPO_CAMBIO16"/>
      <sheetName val="Tiraje_Mix16"/>
      <sheetName val="MAT_16"/>
      <sheetName val="CONDUCT_6"/>
      <sheetName val="conductores_volquetes6"/>
      <sheetName val="PLANILLAS_FORMATEADAS6"/>
      <sheetName val="CONTEO_DE_DATOS6"/>
      <sheetName val="RESUMEN_DE_PARTIDAS6"/>
      <sheetName val="Piso_2-56"/>
      <sheetName val="9_1A6"/>
      <sheetName val="9_2A6"/>
      <sheetName val="9_3A6"/>
      <sheetName val="9_4A6"/>
      <sheetName val="9_5A6"/>
      <sheetName val="9_6A6"/>
      <sheetName val="9_7A6"/>
      <sheetName val="9_8A6"/>
      <sheetName val="9_9A6"/>
      <sheetName val="9_10A6"/>
      <sheetName val="9_11A6"/>
      <sheetName val="9_12A6"/>
      <sheetName val="1_1A6"/>
      <sheetName val="1_2A6"/>
      <sheetName val="1_3A6"/>
      <sheetName val="1_4A6"/>
      <sheetName val="2_1A6"/>
      <sheetName val="2_2A6"/>
      <sheetName val="2_3A6"/>
      <sheetName val="3_1A6"/>
      <sheetName val="3_2A6"/>
      <sheetName val="3_3A6"/>
      <sheetName val="4_1A6"/>
      <sheetName val="4_2A6"/>
      <sheetName val="4_3A6"/>
      <sheetName val="5_1A6"/>
      <sheetName val="5_2A6"/>
      <sheetName val="5_3A6"/>
      <sheetName val="6_1A6"/>
      <sheetName val="6_2A6"/>
      <sheetName val="6_3A6"/>
      <sheetName val="7_1A6"/>
      <sheetName val="7_2A6"/>
      <sheetName val="7_3A6"/>
      <sheetName val="8_1A6"/>
      <sheetName val="8_2A6"/>
      <sheetName val="Resumen_26"/>
      <sheetName val="Resumen_16"/>
      <sheetName val="9_19"/>
      <sheetName val="9_26"/>
      <sheetName val="9_36"/>
      <sheetName val="9_46"/>
      <sheetName val="9_56"/>
      <sheetName val="9_66"/>
      <sheetName val="9_76"/>
      <sheetName val="9_86"/>
      <sheetName val="9_96"/>
      <sheetName val="9_106"/>
      <sheetName val="9_116"/>
      <sheetName val="9_126"/>
      <sheetName val="9_136"/>
      <sheetName val="1_16"/>
      <sheetName val="1_26"/>
      <sheetName val="1_36"/>
      <sheetName val="2_16"/>
      <sheetName val="2_26"/>
      <sheetName val="2_36"/>
      <sheetName val="3_16"/>
      <sheetName val="3_26"/>
      <sheetName val="3_36"/>
      <sheetName val="4_16"/>
      <sheetName val="4_26"/>
      <sheetName val="4_36"/>
      <sheetName val="5_16"/>
      <sheetName val="5_26"/>
      <sheetName val="5_36"/>
      <sheetName val="6_06"/>
      <sheetName val="6_16"/>
      <sheetName val="6_26"/>
      <sheetName val="6_36"/>
      <sheetName val="7_16"/>
      <sheetName val="7_26"/>
      <sheetName val="7_36"/>
      <sheetName val="8_16"/>
      <sheetName val="8_26"/>
      <sheetName val="Encofrado_BVR_Unispan16"/>
      <sheetName val="Equipo_de_apuntalemiento16"/>
      <sheetName val="Gastos_Generales_BVR16"/>
      <sheetName val="BVR_con_Efco16"/>
      <sheetName val="TIPO_CAMBIO15"/>
      <sheetName val="Tiraje_Mix15"/>
      <sheetName val="MAT_15"/>
      <sheetName val="CONDUCT_5"/>
      <sheetName val="conductores_volquetes5"/>
      <sheetName val="PLANILLAS_FORMATEADAS5"/>
      <sheetName val="CONTEO_DE_DATOS5"/>
      <sheetName val="RESUMEN_DE_PARTIDAS5"/>
      <sheetName val="Piso_2-55"/>
      <sheetName val="9_1A5"/>
      <sheetName val="9_2A5"/>
      <sheetName val="9_3A5"/>
      <sheetName val="9_4A5"/>
      <sheetName val="9_5A5"/>
      <sheetName val="9_6A5"/>
      <sheetName val="9_7A5"/>
      <sheetName val="9_8A5"/>
      <sheetName val="9_9A5"/>
      <sheetName val="9_10A5"/>
      <sheetName val="9_11A5"/>
      <sheetName val="9_12A5"/>
      <sheetName val="1_1A5"/>
      <sheetName val="1_2A5"/>
      <sheetName val="1_3A5"/>
      <sheetName val="1_4A5"/>
      <sheetName val="2_1A5"/>
      <sheetName val="2_2A5"/>
      <sheetName val="2_3A5"/>
      <sheetName val="3_1A5"/>
      <sheetName val="3_2A5"/>
      <sheetName val="3_3A5"/>
      <sheetName val="4_1A5"/>
      <sheetName val="4_2A5"/>
      <sheetName val="4_3A5"/>
      <sheetName val="5_1A5"/>
      <sheetName val="5_2A5"/>
      <sheetName val="5_3A5"/>
      <sheetName val="6_1A5"/>
      <sheetName val="6_2A5"/>
      <sheetName val="6_3A5"/>
      <sheetName val="7_1A5"/>
      <sheetName val="7_2A5"/>
      <sheetName val="7_3A5"/>
      <sheetName val="8_1A5"/>
      <sheetName val="8_2A5"/>
      <sheetName val="Resumen_25"/>
      <sheetName val="Resumen_15"/>
      <sheetName val="9_18"/>
      <sheetName val="wagerate by craft"/>
      <sheetName val="Formato de Pedido"/>
      <sheetName val="Condiciones Generales de Venta"/>
      <sheetName val="Codigo de Diseño"/>
      <sheetName val="9_25"/>
      <sheetName val="9_35"/>
      <sheetName val="9_45"/>
      <sheetName val="9_55"/>
      <sheetName val="9_65"/>
      <sheetName val="9_75"/>
      <sheetName val="9_85"/>
      <sheetName val="9_95"/>
      <sheetName val="9_105"/>
      <sheetName val="9_115"/>
      <sheetName val="9_125"/>
      <sheetName val="9_135"/>
      <sheetName val="1_15"/>
      <sheetName val="1_25"/>
      <sheetName val="1_35"/>
      <sheetName val="2_15"/>
      <sheetName val="2_25"/>
      <sheetName val="2_35"/>
      <sheetName val="3_15"/>
      <sheetName val="3_25"/>
      <sheetName val="3_35"/>
      <sheetName val="4_15"/>
      <sheetName val="4_25"/>
      <sheetName val="4_35"/>
      <sheetName val="5_15"/>
      <sheetName val="5_25"/>
      <sheetName val="5_35"/>
      <sheetName val="6_05"/>
      <sheetName val="6_15"/>
      <sheetName val="6_25"/>
      <sheetName val="6_35"/>
      <sheetName val="7_15"/>
      <sheetName val="7_25"/>
      <sheetName val="7_35"/>
      <sheetName val="8_15"/>
      <sheetName val="8_25"/>
      <sheetName val="Encofrado_BVR_Unispan18"/>
      <sheetName val="Equipo_de_apuntalemiento18"/>
      <sheetName val="Gastos_Generales_BVR18"/>
      <sheetName val="BVR_con_Efco18"/>
      <sheetName val="TIPO_CAMBIO17"/>
      <sheetName val="Tiraje_Mix17"/>
      <sheetName val="MAT_17"/>
      <sheetName val="CONDUCT_7"/>
      <sheetName val="conductores_volquetes7"/>
      <sheetName val="PLANILLAS_FORMATEADAS7"/>
      <sheetName val="CONTEO_DE_DATOS7"/>
      <sheetName val="RESUMEN_DE_PARTIDAS7"/>
      <sheetName val="Piso_2-57"/>
      <sheetName val="9_1A7"/>
      <sheetName val="9_2A7"/>
      <sheetName val="9_3A7"/>
      <sheetName val="9_4A7"/>
      <sheetName val="9_5A7"/>
      <sheetName val="9_6A7"/>
      <sheetName val="9_7A7"/>
      <sheetName val="9_8A7"/>
      <sheetName val="9_9A7"/>
      <sheetName val="9_10A7"/>
      <sheetName val="9_11A7"/>
      <sheetName val="9_12A7"/>
      <sheetName val="1_1A7"/>
      <sheetName val="1_2A7"/>
      <sheetName val="1_3A7"/>
      <sheetName val="1_4A7"/>
      <sheetName val="2_1A7"/>
      <sheetName val="2_2A7"/>
      <sheetName val="2_3A7"/>
      <sheetName val="3_1A7"/>
      <sheetName val="3_2A7"/>
      <sheetName val="3_3A7"/>
      <sheetName val="4_1A7"/>
      <sheetName val="4_2A7"/>
      <sheetName val="4_3A7"/>
      <sheetName val="5_1A7"/>
      <sheetName val="5_2A7"/>
      <sheetName val="5_3A7"/>
      <sheetName val="6_1A7"/>
      <sheetName val="6_2A7"/>
      <sheetName val="6_3A7"/>
      <sheetName val="7_1A7"/>
      <sheetName val="7_2A7"/>
      <sheetName val="7_3A7"/>
      <sheetName val="8_1A7"/>
      <sheetName val="8_2A7"/>
      <sheetName val="Resumen_27"/>
      <sheetName val="Resumen_17"/>
      <sheetName val="9_110"/>
      <sheetName val="9_27"/>
      <sheetName val="9_37"/>
      <sheetName val="9_47"/>
      <sheetName val="9_57"/>
      <sheetName val="9_67"/>
      <sheetName val="9_77"/>
      <sheetName val="9_87"/>
      <sheetName val="9_97"/>
      <sheetName val="9_107"/>
      <sheetName val="9_117"/>
      <sheetName val="9_127"/>
      <sheetName val="9_137"/>
      <sheetName val="1_17"/>
      <sheetName val="1_27"/>
      <sheetName val="1_37"/>
      <sheetName val="2_17"/>
      <sheetName val="2_27"/>
      <sheetName val="2_37"/>
      <sheetName val="3_17"/>
      <sheetName val="3_27"/>
      <sheetName val="3_37"/>
      <sheetName val="4_17"/>
      <sheetName val="4_27"/>
      <sheetName val="4_37"/>
      <sheetName val="5_17"/>
      <sheetName val="5_27"/>
      <sheetName val="5_37"/>
      <sheetName val="6_07"/>
      <sheetName val="6_17"/>
      <sheetName val="6_27"/>
      <sheetName val="6_37"/>
      <sheetName val="7_17"/>
      <sheetName val="7_27"/>
      <sheetName val="7_37"/>
      <sheetName val="8_17"/>
      <sheetName val="8_27"/>
      <sheetName val="Encofrado_BVR_Unispan19"/>
      <sheetName val="Equipo_de_apuntalemiento19"/>
      <sheetName val="Gastos_Generales_BVR19"/>
      <sheetName val="BVR_con_Efco19"/>
      <sheetName val="TIPO_CAMBIO18"/>
      <sheetName val="Tiraje_Mix18"/>
      <sheetName val="MAT_18"/>
      <sheetName val="CONDUCT_8"/>
      <sheetName val="conductores_volquetes8"/>
      <sheetName val="Piso_2-58"/>
      <sheetName val="PLANILLAS_FORMATEADAS8"/>
      <sheetName val="CONTEO_DE_DATOS8"/>
      <sheetName val="RESUMEN_DE_PARTIDAS8"/>
      <sheetName val="9_1A8"/>
      <sheetName val="9_2A8"/>
      <sheetName val="9_3A8"/>
      <sheetName val="9_4A8"/>
      <sheetName val="9_5A8"/>
      <sheetName val="9_6A8"/>
      <sheetName val="9_7A8"/>
      <sheetName val="9_8A8"/>
      <sheetName val="9_9A8"/>
      <sheetName val="9_10A8"/>
      <sheetName val="9_11A8"/>
      <sheetName val="9_12A8"/>
      <sheetName val="1_1A8"/>
      <sheetName val="1_2A8"/>
      <sheetName val="1_3A8"/>
      <sheetName val="1_4A8"/>
      <sheetName val="2_1A8"/>
      <sheetName val="2_2A8"/>
      <sheetName val="2_3A8"/>
      <sheetName val="3_1A8"/>
      <sheetName val="3_2A8"/>
      <sheetName val="3_3A8"/>
      <sheetName val="4_1A8"/>
      <sheetName val="4_2A8"/>
      <sheetName val="4_3A8"/>
      <sheetName val="5_1A8"/>
      <sheetName val="5_2A8"/>
      <sheetName val="5_3A8"/>
      <sheetName val="6_1A8"/>
      <sheetName val="6_2A8"/>
      <sheetName val="6_3A8"/>
      <sheetName val="7_1A8"/>
      <sheetName val="7_2A8"/>
      <sheetName val="7_3A8"/>
      <sheetName val="8_1A8"/>
      <sheetName val="8_2A8"/>
      <sheetName val="Resumen_28"/>
      <sheetName val="Resumen_18"/>
      <sheetName val="9_118"/>
      <sheetName val="9_28"/>
      <sheetName val="9_38"/>
      <sheetName val="9_48"/>
      <sheetName val="9_58"/>
      <sheetName val="9_68"/>
      <sheetName val="9_78"/>
      <sheetName val="9_88"/>
      <sheetName val="9_98"/>
      <sheetName val="9_108"/>
      <sheetName val="9_119"/>
      <sheetName val="9_128"/>
      <sheetName val="9_138"/>
      <sheetName val="1_18"/>
      <sheetName val="1_28"/>
      <sheetName val="1_38"/>
      <sheetName val="2_18"/>
      <sheetName val="2_28"/>
      <sheetName val="2_38"/>
      <sheetName val="3_18"/>
      <sheetName val="3_28"/>
      <sheetName val="3_38"/>
      <sheetName val="4_18"/>
      <sheetName val="4_28"/>
      <sheetName val="4_38"/>
      <sheetName val="5_18"/>
      <sheetName val="5_28"/>
      <sheetName val="5_38"/>
      <sheetName val="6_08"/>
      <sheetName val="6_18"/>
      <sheetName val="6_28"/>
      <sheetName val="6_38"/>
      <sheetName val="7_18"/>
      <sheetName val="7_28"/>
      <sheetName val="7_38"/>
      <sheetName val="8_18"/>
      <sheetName val="8_28"/>
      <sheetName val="Encofrado_BVR_Unispan22"/>
      <sheetName val="Equipo_de_apuntalemiento22"/>
      <sheetName val="Gastos_Generales_BVR22"/>
      <sheetName val="BVR_con_Efco22"/>
      <sheetName val="TIPO_CAMBIO21"/>
      <sheetName val="Tiraje_Mix21"/>
      <sheetName val="MAT_21"/>
      <sheetName val="CONDUCT_11"/>
      <sheetName val="conductores_volquetes11"/>
      <sheetName val="PLANILLAS_FORMATEADAS11"/>
      <sheetName val="CONTEO_DE_DATOS11"/>
      <sheetName val="RESUMEN_DE_PARTIDAS11"/>
      <sheetName val="Piso_2-511"/>
      <sheetName val="9_1A11"/>
      <sheetName val="9_2A11"/>
      <sheetName val="9_3A11"/>
      <sheetName val="9_4A11"/>
      <sheetName val="9_5A11"/>
      <sheetName val="9_6A11"/>
      <sheetName val="9_7A11"/>
      <sheetName val="9_8A11"/>
      <sheetName val="9_9A11"/>
      <sheetName val="9_10A11"/>
      <sheetName val="9_11A11"/>
      <sheetName val="9_12A11"/>
      <sheetName val="1_1A11"/>
      <sheetName val="1_2A11"/>
      <sheetName val="1_3A11"/>
      <sheetName val="1_4A11"/>
      <sheetName val="2_1A11"/>
      <sheetName val="2_2A11"/>
      <sheetName val="2_3A11"/>
      <sheetName val="3_1A11"/>
      <sheetName val="3_2A11"/>
      <sheetName val="3_3A11"/>
      <sheetName val="4_1A11"/>
      <sheetName val="4_2A11"/>
      <sheetName val="4_3A11"/>
      <sheetName val="5_1A11"/>
      <sheetName val="5_2A11"/>
      <sheetName val="5_3A11"/>
      <sheetName val="6_1A11"/>
      <sheetName val="6_2A11"/>
      <sheetName val="6_3A11"/>
      <sheetName val="7_1A11"/>
      <sheetName val="7_2A11"/>
      <sheetName val="7_3A11"/>
      <sheetName val="8_1A11"/>
      <sheetName val="8_2A11"/>
      <sheetName val="Resumen_211"/>
      <sheetName val="Resumen_111"/>
      <sheetName val="9_140"/>
      <sheetName val="9_211"/>
      <sheetName val="9_311"/>
      <sheetName val="9_411"/>
      <sheetName val="9_511"/>
      <sheetName val="9_611"/>
      <sheetName val="9_711"/>
      <sheetName val="9_811"/>
      <sheetName val="9_911"/>
      <sheetName val="9_1011"/>
      <sheetName val="9_1112"/>
      <sheetName val="9_1211"/>
      <sheetName val="9_1311"/>
      <sheetName val="1_111"/>
      <sheetName val="1_211"/>
      <sheetName val="1_311"/>
      <sheetName val="2_111"/>
      <sheetName val="2_211"/>
      <sheetName val="2_311"/>
      <sheetName val="3_111"/>
      <sheetName val="3_211"/>
      <sheetName val="3_311"/>
      <sheetName val="4_111"/>
      <sheetName val="4_211"/>
      <sheetName val="4_311"/>
      <sheetName val="5_111"/>
      <sheetName val="5_211"/>
      <sheetName val="5_311"/>
      <sheetName val="6_011"/>
      <sheetName val="6_111"/>
      <sheetName val="6_211"/>
      <sheetName val="6_311"/>
      <sheetName val="7_111"/>
      <sheetName val="7_211"/>
      <sheetName val="7_311"/>
      <sheetName val="8_111"/>
      <sheetName val="8_211"/>
      <sheetName val="Encofrado_BVR_Unispan20"/>
      <sheetName val="Equipo_de_apuntalemiento20"/>
      <sheetName val="Gastos_Generales_BVR20"/>
      <sheetName val="BVR_con_Efco20"/>
      <sheetName val="TIPO_CAMBIO19"/>
      <sheetName val="Tiraje_Mix19"/>
      <sheetName val="MAT_19"/>
      <sheetName val="CONDUCT_9"/>
      <sheetName val="conductores_volquetes9"/>
      <sheetName val="PLANILLAS_FORMATEADAS9"/>
      <sheetName val="CONTEO_DE_DATOS9"/>
      <sheetName val="RESUMEN_DE_PARTIDAS9"/>
      <sheetName val="Piso_2-59"/>
      <sheetName val="9_1A9"/>
      <sheetName val="9_2A9"/>
      <sheetName val="9_3A9"/>
      <sheetName val="9_4A9"/>
      <sheetName val="9_5A9"/>
      <sheetName val="9_6A9"/>
      <sheetName val="9_7A9"/>
      <sheetName val="9_8A9"/>
      <sheetName val="9_9A9"/>
      <sheetName val="9_10A9"/>
      <sheetName val="9_11A9"/>
      <sheetName val="9_12A9"/>
      <sheetName val="1_1A9"/>
      <sheetName val="1_2A9"/>
      <sheetName val="1_3A9"/>
      <sheetName val="1_4A9"/>
      <sheetName val="2_1A9"/>
      <sheetName val="2_2A9"/>
      <sheetName val="2_3A9"/>
      <sheetName val="3_1A9"/>
      <sheetName val="3_2A9"/>
      <sheetName val="3_3A9"/>
      <sheetName val="4_1A9"/>
      <sheetName val="4_2A9"/>
      <sheetName val="4_3A9"/>
      <sheetName val="5_1A9"/>
      <sheetName val="5_2A9"/>
      <sheetName val="5_3A9"/>
      <sheetName val="6_1A9"/>
      <sheetName val="6_2A9"/>
      <sheetName val="6_3A9"/>
      <sheetName val="7_1A9"/>
      <sheetName val="7_2A9"/>
      <sheetName val="7_3A9"/>
      <sheetName val="8_1A9"/>
      <sheetName val="8_2A9"/>
      <sheetName val="Resumen_29"/>
      <sheetName val="Resumen_19"/>
      <sheetName val="9_120"/>
      <sheetName val="9_29"/>
      <sheetName val="9_39"/>
      <sheetName val="9_49"/>
      <sheetName val="9_59"/>
      <sheetName val="9_69"/>
      <sheetName val="9_79"/>
      <sheetName val="9_89"/>
      <sheetName val="9_99"/>
      <sheetName val="9_109"/>
      <sheetName val="9_1110"/>
      <sheetName val="9_129"/>
      <sheetName val="9_139"/>
      <sheetName val="1_19"/>
      <sheetName val="1_29"/>
      <sheetName val="1_39"/>
      <sheetName val="2_19"/>
      <sheetName val="2_29"/>
      <sheetName val="2_39"/>
      <sheetName val="3_19"/>
      <sheetName val="3_29"/>
      <sheetName val="3_39"/>
      <sheetName val="4_19"/>
      <sheetName val="4_29"/>
      <sheetName val="4_39"/>
      <sheetName val="5_19"/>
      <sheetName val="5_29"/>
      <sheetName val="5_39"/>
      <sheetName val="6_09"/>
      <sheetName val="6_19"/>
      <sheetName val="6_29"/>
      <sheetName val="6_39"/>
      <sheetName val="7_19"/>
      <sheetName val="7_29"/>
      <sheetName val="7_39"/>
      <sheetName val="8_19"/>
      <sheetName val="8_29"/>
      <sheetName val="Encofrado_BVR_Unispan21"/>
      <sheetName val="Equipo_de_apuntalemiento21"/>
      <sheetName val="Gastos_Generales_BVR21"/>
      <sheetName val="BVR_con_Efco21"/>
      <sheetName val="TIPO_CAMBIO20"/>
      <sheetName val="Tiraje_Mix20"/>
      <sheetName val="MAT_20"/>
      <sheetName val="CONDUCT_10"/>
      <sheetName val="conductores_volquetes10"/>
      <sheetName val="PLANILLAS_FORMATEADAS10"/>
      <sheetName val="CONTEO_DE_DATOS10"/>
      <sheetName val="RESUMEN_DE_PARTIDAS10"/>
      <sheetName val="Piso_2-510"/>
      <sheetName val="9_1A10"/>
      <sheetName val="9_2A10"/>
      <sheetName val="9_3A10"/>
      <sheetName val="9_4A10"/>
      <sheetName val="9_5A10"/>
      <sheetName val="9_6A10"/>
      <sheetName val="9_7A10"/>
      <sheetName val="9_8A10"/>
      <sheetName val="9_9A10"/>
      <sheetName val="9_10A10"/>
      <sheetName val="9_11A10"/>
      <sheetName val="9_12A10"/>
      <sheetName val="1_1A10"/>
      <sheetName val="1_2A10"/>
      <sheetName val="1_3A10"/>
      <sheetName val="1_4A10"/>
      <sheetName val="2_1A10"/>
      <sheetName val="2_2A10"/>
      <sheetName val="2_3A10"/>
      <sheetName val="3_1A10"/>
      <sheetName val="3_2A10"/>
      <sheetName val="3_3A10"/>
      <sheetName val="4_1A10"/>
      <sheetName val="4_2A10"/>
      <sheetName val="4_3A10"/>
      <sheetName val="5_1A10"/>
      <sheetName val="5_2A10"/>
      <sheetName val="5_3A10"/>
      <sheetName val="6_1A10"/>
      <sheetName val="6_2A10"/>
      <sheetName val="6_3A10"/>
      <sheetName val="7_1A10"/>
      <sheetName val="7_2A10"/>
      <sheetName val="7_3A10"/>
      <sheetName val="8_1A10"/>
      <sheetName val="8_2A10"/>
      <sheetName val="Resumen_210"/>
      <sheetName val="Resumen_110"/>
      <sheetName val="9_130"/>
      <sheetName val="9_210"/>
      <sheetName val="9_310"/>
      <sheetName val="9_410"/>
      <sheetName val="9_510"/>
      <sheetName val="9_610"/>
      <sheetName val="9_710"/>
      <sheetName val="9_810"/>
      <sheetName val="9_910"/>
      <sheetName val="9_1010"/>
      <sheetName val="9_1111"/>
      <sheetName val="9_1210"/>
      <sheetName val="9_1310"/>
      <sheetName val="1_110"/>
      <sheetName val="1_210"/>
      <sheetName val="1_310"/>
      <sheetName val="2_110"/>
      <sheetName val="2_210"/>
      <sheetName val="2_310"/>
      <sheetName val="3_110"/>
      <sheetName val="3_210"/>
      <sheetName val="3_310"/>
      <sheetName val="4_110"/>
      <sheetName val="4_210"/>
      <sheetName val="4_310"/>
      <sheetName val="5_110"/>
      <sheetName val="5_210"/>
      <sheetName val="5_310"/>
      <sheetName val="6_010"/>
      <sheetName val="6_110"/>
      <sheetName val="6_210"/>
      <sheetName val="6_310"/>
      <sheetName val="7_110"/>
      <sheetName val="7_210"/>
      <sheetName val="7_310"/>
      <sheetName val="8_110"/>
      <sheetName val="8_210"/>
      <sheetName val="Encofrado_BVR_Unispan23"/>
      <sheetName val="Equipo_de_apuntalemiento23"/>
      <sheetName val="Gastos_Generales_BVR23"/>
      <sheetName val="BVR_con_Efco23"/>
      <sheetName val="TIPO_CAMBIO22"/>
      <sheetName val="Tiraje_Mix22"/>
      <sheetName val="MAT_22"/>
      <sheetName val="CONDUCT_12"/>
      <sheetName val="conductores_volquetes12"/>
      <sheetName val="PLANILLAS_FORMATEADAS12"/>
      <sheetName val="CONTEO_DE_DATOS12"/>
      <sheetName val="RESUMEN_DE_PARTIDAS12"/>
      <sheetName val="Piso_2-512"/>
      <sheetName val="9_1A12"/>
      <sheetName val="9_2A12"/>
      <sheetName val="9_3A12"/>
      <sheetName val="9_4A12"/>
      <sheetName val="9_5A12"/>
      <sheetName val="9_6A12"/>
      <sheetName val="9_7A12"/>
      <sheetName val="9_8A12"/>
      <sheetName val="9_9A12"/>
      <sheetName val="9_10A12"/>
      <sheetName val="9_11A12"/>
      <sheetName val="9_12A12"/>
      <sheetName val="1_1A12"/>
      <sheetName val="1_2A12"/>
      <sheetName val="1_3A12"/>
      <sheetName val="1_4A12"/>
      <sheetName val="2_1A12"/>
      <sheetName val="2_2A12"/>
      <sheetName val="2_3A12"/>
      <sheetName val="3_1A12"/>
      <sheetName val="3_2A12"/>
      <sheetName val="3_3A12"/>
      <sheetName val="4_1A12"/>
      <sheetName val="4_2A12"/>
      <sheetName val="4_3A12"/>
      <sheetName val="5_1A12"/>
      <sheetName val="5_2A12"/>
      <sheetName val="5_3A12"/>
      <sheetName val="6_1A12"/>
      <sheetName val="6_2A12"/>
      <sheetName val="6_3A12"/>
      <sheetName val="7_1A12"/>
      <sheetName val="7_2A12"/>
      <sheetName val="7_3A12"/>
      <sheetName val="8_1A12"/>
      <sheetName val="8_2A12"/>
      <sheetName val="Resumen_212"/>
      <sheetName val="Resumen_112"/>
      <sheetName val="9_141"/>
      <sheetName val="9_212"/>
      <sheetName val="9_312"/>
      <sheetName val="9_412"/>
      <sheetName val="9_512"/>
      <sheetName val="9_612"/>
      <sheetName val="9_712"/>
      <sheetName val="9_812"/>
      <sheetName val="9_912"/>
      <sheetName val="9_1012"/>
      <sheetName val="9_1113"/>
      <sheetName val="9_1212"/>
      <sheetName val="9_1312"/>
      <sheetName val="1_112"/>
      <sheetName val="1_212"/>
      <sheetName val="1_312"/>
      <sheetName val="2_112"/>
      <sheetName val="2_212"/>
      <sheetName val="2_312"/>
      <sheetName val="3_112"/>
      <sheetName val="3_212"/>
      <sheetName val="3_312"/>
      <sheetName val="4_112"/>
      <sheetName val="4_212"/>
      <sheetName val="4_312"/>
      <sheetName val="5_112"/>
      <sheetName val="5_212"/>
      <sheetName val="5_312"/>
      <sheetName val="6_012"/>
      <sheetName val="6_112"/>
      <sheetName val="6_212"/>
      <sheetName val="6_312"/>
      <sheetName val="7_112"/>
      <sheetName val="7_212"/>
      <sheetName val="7_312"/>
      <sheetName val="8_112"/>
      <sheetName val="8_212"/>
      <sheetName val="SHEET1"/>
      <sheetName val="Hoja de Recursos"/>
      <sheetName val="Provisionales "/>
      <sheetName val="Estructuras"/>
      <sheetName val="Arquitectura"/>
      <sheetName val="PPTO "/>
      <sheetName val="A.P.U"/>
      <sheetName val="Liebman_134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Accesorios"/>
      <sheetName val="fittings"/>
      <sheetName val="C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Fluid"/>
      <sheetName val="Rouhness"/>
      <sheetName val="Pump Calcs"/>
      <sheetName val="Material"/>
      <sheetName val="tank1"/>
      <sheetName val="conv"/>
      <sheetName val="GENERAL"/>
      <sheetName val="Damper"/>
      <sheetName val="premisas"/>
      <sheetName val="Metrado 01"/>
      <sheetName val="Metrado 02"/>
      <sheetName val="Sol.Val"/>
      <sheetName val="Res.Val"/>
      <sheetName val="OBRAS PROV. Y PRELIM."/>
      <sheetName val="EST ESCALERAS"/>
      <sheetName val="PC-19053 RP PURUCHUCO"/>
      <sheetName val="Viga"/>
      <sheetName val="RESUMEN METRADOS (2)"/>
      <sheetName val="VIGAS"/>
      <sheetName val="PRELOSA"/>
      <sheetName val="L MACIZAS"/>
      <sheetName val="PLACAS MP"/>
      <sheetName val="PLACAS EDIF"/>
      <sheetName val="PROYECTOS_2015_"/>
      <sheetName val="P_U_"/>
      <sheetName val="G_G_ESTRUC_"/>
      <sheetName val="RESUMEN_CLIENTE"/>
      <sheetName val="Valorización"/>
      <sheetName val="Liebman_1341"/>
      <sheetName val="PPTO_"/>
      <sheetName val="A_P_U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LISTA"/>
      <sheetName val="10241PIP1ON-SITE"/>
      <sheetName val="ARQ"/>
      <sheetName val="IM"/>
      <sheetName val="INST.COM"/>
      <sheetName val="RESUMEN AJUSTADO"/>
      <sheetName val="EVALUACION"/>
      <sheetName val="AN-EST"/>
      <sheetName val="EST-MAN"/>
      <sheetName val="APU-EST"/>
      <sheetName val="AN-ARQ"/>
      <sheetName val="ARQ-MAN"/>
      <sheetName val="APU-ARQ"/>
      <sheetName val="AN-ELC"/>
      <sheetName val="APU-IIEE"/>
      <sheetName val="AN-SAN"/>
      <sheetName val="APU-IS"/>
      <sheetName val="AN-IM"/>
      <sheetName val="APU-IM"/>
      <sheetName val="AN-COM"/>
      <sheetName val="APU-COM"/>
      <sheetName val="INST_COM"/>
      <sheetName val="RESUMEN_AJUSTADO"/>
      <sheetName val="Encofrado_BVR_Unispan38"/>
      <sheetName val="Equipo_de_apuntalemiento38"/>
      <sheetName val="Gastos_Generales_BVR38"/>
      <sheetName val="BVR_con_Efco38"/>
      <sheetName val="TIPO_CAMBIO37"/>
      <sheetName val="Tiraje_Mix37"/>
      <sheetName val="MAT_37"/>
      <sheetName val="CONDUCT_27"/>
      <sheetName val="conductores_volquetes27"/>
      <sheetName val="PLANILLAS_FORMATEADAS27"/>
      <sheetName val="CONTEO_DE_DATOS27"/>
      <sheetName val="RESUMEN_DE_PARTIDAS27"/>
      <sheetName val="9_1A27"/>
      <sheetName val="9_2A27"/>
      <sheetName val="9_3A27"/>
      <sheetName val="9_4A27"/>
      <sheetName val="9_5A27"/>
      <sheetName val="9_6A27"/>
      <sheetName val="9_7A27"/>
      <sheetName val="9_8A27"/>
      <sheetName val="9_9A27"/>
      <sheetName val="9_10A27"/>
      <sheetName val="9_11A27"/>
      <sheetName val="9_12A27"/>
      <sheetName val="1_1A27"/>
      <sheetName val="1_2A27"/>
      <sheetName val="1_3A27"/>
      <sheetName val="1_4A27"/>
      <sheetName val="2_1A27"/>
      <sheetName val="2_2A27"/>
      <sheetName val="2_3A27"/>
      <sheetName val="3_1A27"/>
      <sheetName val="3_2A27"/>
      <sheetName val="3_3A27"/>
      <sheetName val="4_1A27"/>
      <sheetName val="4_2A27"/>
      <sheetName val="4_3A27"/>
      <sheetName val="5_1A27"/>
      <sheetName val="5_2A27"/>
      <sheetName val="5_3A27"/>
      <sheetName val="6_1A27"/>
      <sheetName val="6_2A27"/>
      <sheetName val="6_3A27"/>
      <sheetName val="7_1A27"/>
      <sheetName val="7_2A27"/>
      <sheetName val="7_3A27"/>
      <sheetName val="8_1A27"/>
      <sheetName val="8_2A27"/>
      <sheetName val="Resumen_227"/>
      <sheetName val="Resumen_127"/>
      <sheetName val="9_156"/>
      <sheetName val="9_227"/>
      <sheetName val="9_327"/>
      <sheetName val="9_427"/>
      <sheetName val="9_527"/>
      <sheetName val="9_627"/>
      <sheetName val="9_727"/>
      <sheetName val="9_827"/>
      <sheetName val="9_927"/>
      <sheetName val="9_1027"/>
      <sheetName val="9_1128"/>
      <sheetName val="9_1227"/>
      <sheetName val="9_1327"/>
      <sheetName val="1_127"/>
      <sheetName val="1_227"/>
      <sheetName val="1_327"/>
      <sheetName val="2_127"/>
      <sheetName val="2_227"/>
      <sheetName val="2_327"/>
      <sheetName val="3_127"/>
      <sheetName val="3_227"/>
      <sheetName val="3_327"/>
      <sheetName val="4_127"/>
      <sheetName val="4_227"/>
      <sheetName val="4_327"/>
      <sheetName val="5_127"/>
      <sheetName val="5_227"/>
      <sheetName val="5_327"/>
      <sheetName val="6_027"/>
      <sheetName val="6_127"/>
      <sheetName val="6_227"/>
      <sheetName val="6_327"/>
      <sheetName val="7_127"/>
      <sheetName val="7_227"/>
      <sheetName val="7_327"/>
      <sheetName val="8_127"/>
      <sheetName val="8_227"/>
      <sheetName val="Piso_2-527"/>
      <sheetName val="Liebman_13415"/>
      <sheetName val="PROYECTOS_2015_14"/>
      <sheetName val="pu_Estructuras14"/>
      <sheetName val="P_U_14"/>
      <sheetName val="G_G_ESTRUC_14"/>
      <sheetName val="RESUMEN_CLIENTE14"/>
      <sheetName val="ANÁLISIS_GG14"/>
      <sheetName val="Formato_de_Pedido14"/>
      <sheetName val="Condiciones_Generales_de_Vent14"/>
      <sheetName val="Codigo_de_Diseño14"/>
      <sheetName val="Hoja_de_Recursos14"/>
      <sheetName val="Provisionales_14"/>
      <sheetName val="wagerate_by_craft14"/>
      <sheetName val="PPTO_14"/>
      <sheetName val="A_P_U14"/>
      <sheetName val="Columnas_de__Cerco14"/>
      <sheetName val="Losa_postensado_h=_0_2014"/>
      <sheetName val="Base_de_Equipos14"/>
      <sheetName val="LOSA_DE_PISO_E=_014"/>
      <sheetName val="Columnas_14"/>
      <sheetName val="Muros_de_Cerco14"/>
      <sheetName val="Muros_de_Contencion14"/>
      <sheetName val="Muros_Pantalla_14"/>
      <sheetName val="Cimiento_Corrido14"/>
      <sheetName val="V_C_14"/>
      <sheetName val="Vigas_y_Cortes14"/>
      <sheetName val="Cimentacion_Armada14"/>
      <sheetName val="VIGAS_DE_AMARRE_Y_DINTELES14"/>
      <sheetName val="Relleno_Rampa14"/>
      <sheetName val="Viguetas_Firth14"/>
      <sheetName val="B__equipos14"/>
      <sheetName val="Pump_Calcs14"/>
      <sheetName val="Sol_Val2"/>
      <sheetName val="Res_Val2"/>
      <sheetName val="OBRAS_PROV__Y_PRELIM_2"/>
      <sheetName val="EST_ESCALERAS2"/>
      <sheetName val="PC-19053_RP_PURUCHUCO2"/>
      <sheetName val="Encofrado_BVR_Unispan29"/>
      <sheetName val="Equipo_de_apuntalemiento29"/>
      <sheetName val="Gastos_Generales_BVR29"/>
      <sheetName val="BVR_con_Efco29"/>
      <sheetName val="TIPO_CAMBIO28"/>
      <sheetName val="Tiraje_Mix28"/>
      <sheetName val="MAT_28"/>
      <sheetName val="CONDUCT_18"/>
      <sheetName val="conductores_volquetes18"/>
      <sheetName val="PLANILLAS_FORMATEADAS18"/>
      <sheetName val="CONTEO_DE_DATOS18"/>
      <sheetName val="RESUMEN_DE_PARTIDAS18"/>
      <sheetName val="9_1A18"/>
      <sheetName val="9_2A18"/>
      <sheetName val="9_3A18"/>
      <sheetName val="9_4A18"/>
      <sheetName val="9_5A18"/>
      <sheetName val="9_6A18"/>
      <sheetName val="9_7A18"/>
      <sheetName val="9_8A18"/>
      <sheetName val="9_9A18"/>
      <sheetName val="9_10A18"/>
      <sheetName val="9_11A18"/>
      <sheetName val="9_12A18"/>
      <sheetName val="1_1A18"/>
      <sheetName val="1_2A18"/>
      <sheetName val="1_3A18"/>
      <sheetName val="1_4A18"/>
      <sheetName val="2_1A18"/>
      <sheetName val="2_2A18"/>
      <sheetName val="2_3A18"/>
      <sheetName val="3_1A18"/>
      <sheetName val="3_2A18"/>
      <sheetName val="3_3A18"/>
      <sheetName val="4_1A18"/>
      <sheetName val="4_2A18"/>
      <sheetName val="4_3A18"/>
      <sheetName val="5_1A18"/>
      <sheetName val="5_2A18"/>
      <sheetName val="5_3A18"/>
      <sheetName val="6_1A18"/>
      <sheetName val="6_2A18"/>
      <sheetName val="6_3A18"/>
      <sheetName val="7_1A18"/>
      <sheetName val="7_2A18"/>
      <sheetName val="7_3A18"/>
      <sheetName val="8_1A18"/>
      <sheetName val="8_2A18"/>
      <sheetName val="Resumen_218"/>
      <sheetName val="Resumen_118"/>
      <sheetName val="9_147"/>
      <sheetName val="9_218"/>
      <sheetName val="9_318"/>
      <sheetName val="9_418"/>
      <sheetName val="9_518"/>
      <sheetName val="9_618"/>
      <sheetName val="9_718"/>
      <sheetName val="9_818"/>
      <sheetName val="9_918"/>
      <sheetName val="9_1018"/>
      <sheetName val="9_1119"/>
      <sheetName val="9_1218"/>
      <sheetName val="9_1318"/>
      <sheetName val="1_118"/>
      <sheetName val="1_218"/>
      <sheetName val="1_318"/>
      <sheetName val="2_118"/>
      <sheetName val="2_218"/>
      <sheetName val="2_318"/>
      <sheetName val="3_118"/>
      <sheetName val="3_218"/>
      <sheetName val="3_318"/>
      <sheetName val="4_118"/>
      <sheetName val="4_218"/>
      <sheetName val="4_318"/>
      <sheetName val="5_118"/>
      <sheetName val="5_218"/>
      <sheetName val="5_318"/>
      <sheetName val="6_018"/>
      <sheetName val="6_118"/>
      <sheetName val="6_218"/>
      <sheetName val="6_318"/>
      <sheetName val="7_118"/>
      <sheetName val="7_218"/>
      <sheetName val="7_318"/>
      <sheetName val="8_118"/>
      <sheetName val="8_218"/>
      <sheetName val="Piso_2-518"/>
      <sheetName val="Liebman_1346"/>
      <sheetName val="PROYECTOS_2015_5"/>
      <sheetName val="pu_Estructuras5"/>
      <sheetName val="P_U_5"/>
      <sheetName val="G_G_ESTRUC_5"/>
      <sheetName val="RESUMEN_CLIENTE5"/>
      <sheetName val="ANÁLISIS_GG5"/>
      <sheetName val="Formato_de_Pedido5"/>
      <sheetName val="Condiciones_Generales_de_Venta5"/>
      <sheetName val="Codigo_de_Diseño5"/>
      <sheetName val="Hoja_de_Recursos5"/>
      <sheetName val="Provisionales_5"/>
      <sheetName val="wagerate_by_craft5"/>
      <sheetName val="PPTO_5"/>
      <sheetName val="A_P_U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Pump_Calcs5"/>
      <sheetName val="Encofrado_BVR_Unispan24"/>
      <sheetName val="Equipo_de_apuntalemiento24"/>
      <sheetName val="Gastos_Generales_BVR24"/>
      <sheetName val="BVR_con_Efco24"/>
      <sheetName val="TIPO_CAMBIO23"/>
      <sheetName val="Tiraje_Mix23"/>
      <sheetName val="MAT_23"/>
      <sheetName val="CONDUCT_13"/>
      <sheetName val="conductores_volquetes13"/>
      <sheetName val="PLANILLAS_FORMATEADAS13"/>
      <sheetName val="CONTEO_DE_DATOS13"/>
      <sheetName val="RESUMEN_DE_PARTIDAS13"/>
      <sheetName val="9_1A13"/>
      <sheetName val="9_2A13"/>
      <sheetName val="9_3A13"/>
      <sheetName val="9_4A13"/>
      <sheetName val="9_5A13"/>
      <sheetName val="9_6A13"/>
      <sheetName val="9_7A13"/>
      <sheetName val="9_8A13"/>
      <sheetName val="9_9A13"/>
      <sheetName val="9_10A13"/>
      <sheetName val="9_11A13"/>
      <sheetName val="9_12A13"/>
      <sheetName val="1_1A13"/>
      <sheetName val="1_2A13"/>
      <sheetName val="1_3A13"/>
      <sheetName val="1_4A13"/>
      <sheetName val="2_1A13"/>
      <sheetName val="2_2A13"/>
      <sheetName val="2_3A13"/>
      <sheetName val="3_1A13"/>
      <sheetName val="3_2A13"/>
      <sheetName val="3_3A13"/>
      <sheetName val="4_1A13"/>
      <sheetName val="4_2A13"/>
      <sheetName val="4_3A13"/>
      <sheetName val="5_1A13"/>
      <sheetName val="5_2A13"/>
      <sheetName val="5_3A13"/>
      <sheetName val="6_1A13"/>
      <sheetName val="6_2A13"/>
      <sheetName val="6_3A13"/>
      <sheetName val="7_1A13"/>
      <sheetName val="7_2A13"/>
      <sheetName val="7_3A13"/>
      <sheetName val="8_1A13"/>
      <sheetName val="8_2A13"/>
      <sheetName val="Resumen_213"/>
      <sheetName val="Resumen_113"/>
      <sheetName val="9_142"/>
      <sheetName val="9_213"/>
      <sheetName val="9_313"/>
      <sheetName val="9_413"/>
      <sheetName val="9_513"/>
      <sheetName val="9_613"/>
      <sheetName val="9_713"/>
      <sheetName val="9_813"/>
      <sheetName val="9_913"/>
      <sheetName val="9_1013"/>
      <sheetName val="9_1114"/>
      <sheetName val="9_1213"/>
      <sheetName val="9_1313"/>
      <sheetName val="1_113"/>
      <sheetName val="1_213"/>
      <sheetName val="1_313"/>
      <sheetName val="2_113"/>
      <sheetName val="2_213"/>
      <sheetName val="2_313"/>
      <sheetName val="3_113"/>
      <sheetName val="3_213"/>
      <sheetName val="3_313"/>
      <sheetName val="4_113"/>
      <sheetName val="4_213"/>
      <sheetName val="4_313"/>
      <sheetName val="5_113"/>
      <sheetName val="5_213"/>
      <sheetName val="5_313"/>
      <sheetName val="6_013"/>
      <sheetName val="6_113"/>
      <sheetName val="6_213"/>
      <sheetName val="6_313"/>
      <sheetName val="7_113"/>
      <sheetName val="7_213"/>
      <sheetName val="7_313"/>
      <sheetName val="8_113"/>
      <sheetName val="8_213"/>
      <sheetName val="Piso_2-513"/>
      <sheetName val="ANÁLISIS_GG"/>
      <sheetName val="pu_Estructuras"/>
      <sheetName val="Formato_de_Pedido"/>
      <sheetName val="Condiciones_Generales_de_Venta"/>
      <sheetName val="Codigo_de_Diseño"/>
      <sheetName val="Hoja_de_Recursos"/>
      <sheetName val="Provisionales_"/>
      <sheetName val="wagerate_by_craft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Pump_Calcs"/>
      <sheetName val="Encofrado_BVR_Unispan25"/>
      <sheetName val="Equipo_de_apuntalemiento25"/>
      <sheetName val="Gastos_Generales_BVR25"/>
      <sheetName val="BVR_con_Efco25"/>
      <sheetName val="TIPO_CAMBIO24"/>
      <sheetName val="Tiraje_Mix24"/>
      <sheetName val="MAT_24"/>
      <sheetName val="CONDUCT_14"/>
      <sheetName val="conductores_volquetes14"/>
      <sheetName val="PLANILLAS_FORMATEADAS14"/>
      <sheetName val="CONTEO_DE_DATOS14"/>
      <sheetName val="RESUMEN_DE_PARTIDAS14"/>
      <sheetName val="9_1A14"/>
      <sheetName val="9_2A14"/>
      <sheetName val="9_3A14"/>
      <sheetName val="9_4A14"/>
      <sheetName val="9_5A14"/>
      <sheetName val="9_6A14"/>
      <sheetName val="9_7A14"/>
      <sheetName val="9_8A14"/>
      <sheetName val="9_9A14"/>
      <sheetName val="9_10A14"/>
      <sheetName val="9_11A14"/>
      <sheetName val="9_12A14"/>
      <sheetName val="1_1A14"/>
      <sheetName val="1_2A14"/>
      <sheetName val="1_3A14"/>
      <sheetName val="1_4A14"/>
      <sheetName val="2_1A14"/>
      <sheetName val="2_2A14"/>
      <sheetName val="2_3A14"/>
      <sheetName val="3_1A14"/>
      <sheetName val="3_2A14"/>
      <sheetName val="3_3A14"/>
      <sheetName val="4_1A14"/>
      <sheetName val="4_2A14"/>
      <sheetName val="4_3A14"/>
      <sheetName val="5_1A14"/>
      <sheetName val="5_2A14"/>
      <sheetName val="5_3A14"/>
      <sheetName val="6_1A14"/>
      <sheetName val="6_2A14"/>
      <sheetName val="6_3A14"/>
      <sheetName val="7_1A14"/>
      <sheetName val="7_2A14"/>
      <sheetName val="7_3A14"/>
      <sheetName val="8_1A14"/>
      <sheetName val="8_2A14"/>
      <sheetName val="Resumen_214"/>
      <sheetName val="Resumen_114"/>
      <sheetName val="9_143"/>
      <sheetName val="9_214"/>
      <sheetName val="9_314"/>
      <sheetName val="9_414"/>
      <sheetName val="9_514"/>
      <sheetName val="9_614"/>
      <sheetName val="9_714"/>
      <sheetName val="9_814"/>
      <sheetName val="9_914"/>
      <sheetName val="9_1014"/>
      <sheetName val="9_1115"/>
      <sheetName val="9_1214"/>
      <sheetName val="9_1314"/>
      <sheetName val="1_114"/>
      <sheetName val="1_214"/>
      <sheetName val="1_314"/>
      <sheetName val="2_114"/>
      <sheetName val="2_214"/>
      <sheetName val="2_314"/>
      <sheetName val="3_114"/>
      <sheetName val="3_214"/>
      <sheetName val="3_314"/>
      <sheetName val="4_114"/>
      <sheetName val="4_214"/>
      <sheetName val="4_314"/>
      <sheetName val="5_114"/>
      <sheetName val="5_214"/>
      <sheetName val="5_314"/>
      <sheetName val="6_014"/>
      <sheetName val="6_114"/>
      <sheetName val="6_214"/>
      <sheetName val="6_314"/>
      <sheetName val="7_114"/>
      <sheetName val="7_214"/>
      <sheetName val="7_314"/>
      <sheetName val="8_114"/>
      <sheetName val="8_214"/>
      <sheetName val="Piso_2-514"/>
      <sheetName val="Liebman_1342"/>
      <sheetName val="PROYECTOS_2015_1"/>
      <sheetName val="pu_Estructuras1"/>
      <sheetName val="P_U_1"/>
      <sheetName val="G_G_ESTRUC_1"/>
      <sheetName val="RESUMEN_CLIENTE1"/>
      <sheetName val="ANÁLISIS_GG1"/>
      <sheetName val="Formato_de_Pedido1"/>
      <sheetName val="Condiciones_Generales_de_Venta1"/>
      <sheetName val="Codigo_de_Diseño1"/>
      <sheetName val="Hoja_de_Recursos1"/>
      <sheetName val="Provisionales_1"/>
      <sheetName val="wagerate_by_craft1"/>
      <sheetName val="PPTO_1"/>
      <sheetName val="A_P_U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Pump_Calcs1"/>
      <sheetName val="Encofrado_BVR_Unispan26"/>
      <sheetName val="Equipo_de_apuntalemiento26"/>
      <sheetName val="Gastos_Generales_BVR26"/>
      <sheetName val="BVR_con_Efco26"/>
      <sheetName val="TIPO_CAMBIO25"/>
      <sheetName val="Tiraje_Mix25"/>
      <sheetName val="MAT_25"/>
      <sheetName val="CONDUCT_15"/>
      <sheetName val="conductores_volquetes15"/>
      <sheetName val="PLANILLAS_FORMATEADAS15"/>
      <sheetName val="CONTEO_DE_DATOS15"/>
      <sheetName val="RESUMEN_DE_PARTIDAS15"/>
      <sheetName val="9_1A15"/>
      <sheetName val="9_2A15"/>
      <sheetName val="9_3A15"/>
      <sheetName val="9_4A15"/>
      <sheetName val="9_5A15"/>
      <sheetName val="9_6A15"/>
      <sheetName val="9_7A15"/>
      <sheetName val="9_8A15"/>
      <sheetName val="9_9A15"/>
      <sheetName val="9_10A15"/>
      <sheetName val="9_11A15"/>
      <sheetName val="9_12A15"/>
      <sheetName val="1_1A15"/>
      <sheetName val="1_2A15"/>
      <sheetName val="1_3A15"/>
      <sheetName val="1_4A15"/>
      <sheetName val="2_1A15"/>
      <sheetName val="2_2A15"/>
      <sheetName val="2_3A15"/>
      <sheetName val="3_1A15"/>
      <sheetName val="3_2A15"/>
      <sheetName val="3_3A15"/>
      <sheetName val="4_1A15"/>
      <sheetName val="4_2A15"/>
      <sheetName val="4_3A15"/>
      <sheetName val="5_1A15"/>
      <sheetName val="5_2A15"/>
      <sheetName val="5_3A15"/>
      <sheetName val="6_1A15"/>
      <sheetName val="6_2A15"/>
      <sheetName val="6_3A15"/>
      <sheetName val="7_1A15"/>
      <sheetName val="7_2A15"/>
      <sheetName val="7_3A15"/>
      <sheetName val="8_1A15"/>
      <sheetName val="8_2A15"/>
      <sheetName val="Resumen_215"/>
      <sheetName val="Resumen_115"/>
      <sheetName val="9_144"/>
      <sheetName val="9_215"/>
      <sheetName val="9_315"/>
      <sheetName val="9_415"/>
      <sheetName val="9_515"/>
      <sheetName val="9_615"/>
      <sheetName val="9_715"/>
      <sheetName val="9_815"/>
      <sheetName val="9_915"/>
      <sheetName val="9_1015"/>
      <sheetName val="9_1116"/>
      <sheetName val="9_1215"/>
      <sheetName val="9_1315"/>
      <sheetName val="1_115"/>
      <sheetName val="1_215"/>
      <sheetName val="1_315"/>
      <sheetName val="2_115"/>
      <sheetName val="2_215"/>
      <sheetName val="2_315"/>
      <sheetName val="3_115"/>
      <sheetName val="3_215"/>
      <sheetName val="3_315"/>
      <sheetName val="4_115"/>
      <sheetName val="4_215"/>
      <sheetName val="4_315"/>
      <sheetName val="5_115"/>
      <sheetName val="5_215"/>
      <sheetName val="5_315"/>
      <sheetName val="6_015"/>
      <sheetName val="6_115"/>
      <sheetName val="6_215"/>
      <sheetName val="6_315"/>
      <sheetName val="7_115"/>
      <sheetName val="7_215"/>
      <sheetName val="7_315"/>
      <sheetName val="8_115"/>
      <sheetName val="8_215"/>
      <sheetName val="Piso_2-515"/>
      <sheetName val="Liebman_1343"/>
      <sheetName val="PROYECTOS_2015_2"/>
      <sheetName val="pu_Estructuras2"/>
      <sheetName val="P_U_2"/>
      <sheetName val="G_G_ESTRUC_2"/>
      <sheetName val="RESUMEN_CLIENTE2"/>
      <sheetName val="ANÁLISIS_GG2"/>
      <sheetName val="Formato_de_Pedido2"/>
      <sheetName val="Condiciones_Generales_de_Venta2"/>
      <sheetName val="Codigo_de_Diseño2"/>
      <sheetName val="Hoja_de_Recursos2"/>
      <sheetName val="Provisionales_2"/>
      <sheetName val="wagerate_by_craft2"/>
      <sheetName val="PPTO_2"/>
      <sheetName val="A_P_U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Pump_Calcs2"/>
      <sheetName val="Encofrado_BVR_Unispan28"/>
      <sheetName val="Equipo_de_apuntalemiento28"/>
      <sheetName val="Gastos_Generales_BVR28"/>
      <sheetName val="BVR_con_Efco28"/>
      <sheetName val="TIPO_CAMBIO27"/>
      <sheetName val="Tiraje_Mix27"/>
      <sheetName val="MAT_27"/>
      <sheetName val="CONDUCT_17"/>
      <sheetName val="conductores_volquetes17"/>
      <sheetName val="PLANILLAS_FORMATEADAS17"/>
      <sheetName val="CONTEO_DE_DATOS17"/>
      <sheetName val="RESUMEN_DE_PARTIDAS17"/>
      <sheetName val="9_1A17"/>
      <sheetName val="9_2A17"/>
      <sheetName val="9_3A17"/>
      <sheetName val="9_4A17"/>
      <sheetName val="9_5A17"/>
      <sheetName val="9_6A17"/>
      <sheetName val="9_7A17"/>
      <sheetName val="9_8A17"/>
      <sheetName val="9_9A17"/>
      <sheetName val="9_10A17"/>
      <sheetName val="9_11A17"/>
      <sheetName val="9_12A17"/>
      <sheetName val="1_1A17"/>
      <sheetName val="1_2A17"/>
      <sheetName val="1_3A17"/>
      <sheetName val="1_4A17"/>
      <sheetName val="2_1A17"/>
      <sheetName val="2_2A17"/>
      <sheetName val="2_3A17"/>
      <sheetName val="3_1A17"/>
      <sheetName val="3_2A17"/>
      <sheetName val="3_3A17"/>
      <sheetName val="4_1A17"/>
      <sheetName val="4_2A17"/>
      <sheetName val="4_3A17"/>
      <sheetName val="5_1A17"/>
      <sheetName val="5_2A17"/>
      <sheetName val="5_3A17"/>
      <sheetName val="6_1A17"/>
      <sheetName val="6_2A17"/>
      <sheetName val="6_3A17"/>
      <sheetName val="7_1A17"/>
      <sheetName val="7_2A17"/>
      <sheetName val="7_3A17"/>
      <sheetName val="8_1A17"/>
      <sheetName val="8_2A17"/>
      <sheetName val="Resumen_217"/>
      <sheetName val="Resumen_117"/>
      <sheetName val="9_146"/>
      <sheetName val="9_217"/>
      <sheetName val="9_317"/>
      <sheetName val="9_417"/>
      <sheetName val="9_517"/>
      <sheetName val="9_617"/>
      <sheetName val="9_717"/>
      <sheetName val="9_817"/>
      <sheetName val="9_917"/>
      <sheetName val="9_1017"/>
      <sheetName val="9_1118"/>
      <sheetName val="9_1217"/>
      <sheetName val="9_1317"/>
      <sheetName val="1_117"/>
      <sheetName val="1_217"/>
      <sheetName val="1_317"/>
      <sheetName val="2_117"/>
      <sheetName val="2_217"/>
      <sheetName val="2_317"/>
      <sheetName val="3_117"/>
      <sheetName val="3_217"/>
      <sheetName val="3_317"/>
      <sheetName val="4_117"/>
      <sheetName val="4_217"/>
      <sheetName val="4_317"/>
      <sheetName val="5_117"/>
      <sheetName val="5_217"/>
      <sheetName val="5_317"/>
      <sheetName val="6_017"/>
      <sheetName val="6_117"/>
      <sheetName val="6_217"/>
      <sheetName val="6_317"/>
      <sheetName val="7_117"/>
      <sheetName val="7_217"/>
      <sheetName val="7_317"/>
      <sheetName val="8_117"/>
      <sheetName val="8_217"/>
      <sheetName val="Piso_2-517"/>
      <sheetName val="Liebman_1345"/>
      <sheetName val="PROYECTOS_2015_4"/>
      <sheetName val="pu_Estructuras4"/>
      <sheetName val="P_U_4"/>
      <sheetName val="G_G_ESTRUC_4"/>
      <sheetName val="RESUMEN_CLIENTE4"/>
      <sheetName val="ANÁLISIS_GG4"/>
      <sheetName val="Formato_de_Pedido4"/>
      <sheetName val="Condiciones_Generales_de_Venta4"/>
      <sheetName val="Codigo_de_Diseño4"/>
      <sheetName val="Hoja_de_Recursos4"/>
      <sheetName val="Provisionales_4"/>
      <sheetName val="wagerate_by_craft4"/>
      <sheetName val="PPTO_4"/>
      <sheetName val="A_P_U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Pump_Calcs4"/>
      <sheetName val="Encofrado_BVR_Unispan27"/>
      <sheetName val="Equipo_de_apuntalemiento27"/>
      <sheetName val="Gastos_Generales_BVR27"/>
      <sheetName val="BVR_con_Efco27"/>
      <sheetName val="TIPO_CAMBIO26"/>
      <sheetName val="Tiraje_Mix26"/>
      <sheetName val="MAT_26"/>
      <sheetName val="CONDUCT_16"/>
      <sheetName val="conductores_volquetes16"/>
      <sheetName val="PLANILLAS_FORMATEADAS16"/>
      <sheetName val="CONTEO_DE_DATOS16"/>
      <sheetName val="RESUMEN_DE_PARTIDAS16"/>
      <sheetName val="9_1A16"/>
      <sheetName val="9_2A16"/>
      <sheetName val="9_3A16"/>
      <sheetName val="9_4A16"/>
      <sheetName val="9_5A16"/>
      <sheetName val="9_6A16"/>
      <sheetName val="9_7A16"/>
      <sheetName val="9_8A16"/>
      <sheetName val="9_9A16"/>
      <sheetName val="9_10A16"/>
      <sheetName val="9_11A16"/>
      <sheetName val="9_12A16"/>
      <sheetName val="1_1A16"/>
      <sheetName val="1_2A16"/>
      <sheetName val="1_3A16"/>
      <sheetName val="1_4A16"/>
      <sheetName val="2_1A16"/>
      <sheetName val="2_2A16"/>
      <sheetName val="2_3A16"/>
      <sheetName val="3_1A16"/>
      <sheetName val="3_2A16"/>
      <sheetName val="3_3A16"/>
      <sheetName val="4_1A16"/>
      <sheetName val="4_2A16"/>
      <sheetName val="4_3A16"/>
      <sheetName val="5_1A16"/>
      <sheetName val="5_2A16"/>
      <sheetName val="5_3A16"/>
      <sheetName val="6_1A16"/>
      <sheetName val="6_2A16"/>
      <sheetName val="6_3A16"/>
      <sheetName val="7_1A16"/>
      <sheetName val="7_2A16"/>
      <sheetName val="7_3A16"/>
      <sheetName val="8_1A16"/>
      <sheetName val="8_2A16"/>
      <sheetName val="Resumen_216"/>
      <sheetName val="Resumen_116"/>
      <sheetName val="9_145"/>
      <sheetName val="9_216"/>
      <sheetName val="9_316"/>
      <sheetName val="9_416"/>
      <sheetName val="9_516"/>
      <sheetName val="9_616"/>
      <sheetName val="9_716"/>
      <sheetName val="9_816"/>
      <sheetName val="9_916"/>
      <sheetName val="9_1016"/>
      <sheetName val="9_1117"/>
      <sheetName val="9_1216"/>
      <sheetName val="9_1316"/>
      <sheetName val="1_116"/>
      <sheetName val="1_216"/>
      <sheetName val="1_316"/>
      <sheetName val="2_116"/>
      <sheetName val="2_216"/>
      <sheetName val="2_316"/>
      <sheetName val="3_116"/>
      <sheetName val="3_216"/>
      <sheetName val="3_316"/>
      <sheetName val="4_116"/>
      <sheetName val="4_216"/>
      <sheetName val="4_316"/>
      <sheetName val="5_116"/>
      <sheetName val="5_216"/>
      <sheetName val="5_316"/>
      <sheetName val="6_016"/>
      <sheetName val="6_116"/>
      <sheetName val="6_216"/>
      <sheetName val="6_316"/>
      <sheetName val="7_116"/>
      <sheetName val="7_216"/>
      <sheetName val="7_316"/>
      <sheetName val="8_116"/>
      <sheetName val="8_216"/>
      <sheetName val="Piso_2-516"/>
      <sheetName val="Liebman_1344"/>
      <sheetName val="PROYECTOS_2015_3"/>
      <sheetName val="pu_Estructuras3"/>
      <sheetName val="P_U_3"/>
      <sheetName val="G_G_ESTRUC_3"/>
      <sheetName val="RESUMEN_CLIENTE3"/>
      <sheetName val="ANÁLISIS_GG3"/>
      <sheetName val="Formato_de_Pedido3"/>
      <sheetName val="Condiciones_Generales_de_Venta3"/>
      <sheetName val="Codigo_de_Diseño3"/>
      <sheetName val="Hoja_de_Recursos3"/>
      <sheetName val="Provisionales_3"/>
      <sheetName val="wagerate_by_craft3"/>
      <sheetName val="PPTO_3"/>
      <sheetName val="A_P_U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Pump_Calcs3"/>
      <sheetName val="Encofrado_BVR_Unispan30"/>
      <sheetName val="Equipo_de_apuntalemiento30"/>
      <sheetName val="Gastos_Generales_BVR30"/>
      <sheetName val="BVR_con_Efco30"/>
      <sheetName val="TIPO_CAMBIO29"/>
      <sheetName val="Tiraje_Mix29"/>
      <sheetName val="MAT_29"/>
      <sheetName val="CONDUCT_19"/>
      <sheetName val="conductores_volquetes19"/>
      <sheetName val="PLANILLAS_FORMATEADAS19"/>
      <sheetName val="CONTEO_DE_DATOS19"/>
      <sheetName val="RESUMEN_DE_PARTIDAS19"/>
      <sheetName val="9_1A19"/>
      <sheetName val="9_2A19"/>
      <sheetName val="9_3A19"/>
      <sheetName val="9_4A19"/>
      <sheetName val="9_5A19"/>
      <sheetName val="9_6A19"/>
      <sheetName val="9_7A19"/>
      <sheetName val="9_8A19"/>
      <sheetName val="9_9A19"/>
      <sheetName val="9_10A19"/>
      <sheetName val="9_11A19"/>
      <sheetName val="9_12A19"/>
      <sheetName val="1_1A19"/>
      <sheetName val="1_2A19"/>
      <sheetName val="1_3A19"/>
      <sheetName val="1_4A19"/>
      <sheetName val="2_1A19"/>
      <sheetName val="2_2A19"/>
      <sheetName val="2_3A19"/>
      <sheetName val="3_1A19"/>
      <sheetName val="3_2A19"/>
      <sheetName val="3_3A19"/>
      <sheetName val="4_1A19"/>
      <sheetName val="4_2A19"/>
      <sheetName val="4_3A19"/>
      <sheetName val="5_1A19"/>
      <sheetName val="5_2A19"/>
      <sheetName val="5_3A19"/>
      <sheetName val="6_1A19"/>
      <sheetName val="6_2A19"/>
      <sheetName val="6_3A19"/>
      <sheetName val="7_1A19"/>
      <sheetName val="7_2A19"/>
      <sheetName val="7_3A19"/>
      <sheetName val="8_1A19"/>
      <sheetName val="8_2A19"/>
      <sheetName val="Resumen_219"/>
      <sheetName val="Resumen_119"/>
      <sheetName val="9_148"/>
      <sheetName val="9_219"/>
      <sheetName val="9_319"/>
      <sheetName val="9_419"/>
      <sheetName val="9_519"/>
      <sheetName val="9_619"/>
      <sheetName val="9_719"/>
      <sheetName val="9_819"/>
      <sheetName val="9_919"/>
      <sheetName val="9_1019"/>
      <sheetName val="9_1120"/>
      <sheetName val="9_1219"/>
      <sheetName val="9_1319"/>
      <sheetName val="1_119"/>
      <sheetName val="1_219"/>
      <sheetName val="1_319"/>
      <sheetName val="2_119"/>
      <sheetName val="2_219"/>
      <sheetName val="2_319"/>
      <sheetName val="3_119"/>
      <sheetName val="3_219"/>
      <sheetName val="3_319"/>
      <sheetName val="4_119"/>
      <sheetName val="4_219"/>
      <sheetName val="4_319"/>
      <sheetName val="5_119"/>
      <sheetName val="5_219"/>
      <sheetName val="5_319"/>
      <sheetName val="6_019"/>
      <sheetName val="6_119"/>
      <sheetName val="6_219"/>
      <sheetName val="6_319"/>
      <sheetName val="7_119"/>
      <sheetName val="7_219"/>
      <sheetName val="7_319"/>
      <sheetName val="8_119"/>
      <sheetName val="8_219"/>
      <sheetName val="Piso_2-519"/>
      <sheetName val="Liebman_1347"/>
      <sheetName val="PROYECTOS_2015_6"/>
      <sheetName val="pu_Estructuras6"/>
      <sheetName val="P_U_6"/>
      <sheetName val="G_G_ESTRUC_6"/>
      <sheetName val="RESUMEN_CLIENTE6"/>
      <sheetName val="ANÁLISIS_GG6"/>
      <sheetName val="Formato_de_Pedido6"/>
      <sheetName val="Condiciones_Generales_de_Venta6"/>
      <sheetName val="Codigo_de_Diseño6"/>
      <sheetName val="Hoja_de_Recursos6"/>
      <sheetName val="Provisionales_6"/>
      <sheetName val="wagerate_by_craft6"/>
      <sheetName val="PPTO_6"/>
      <sheetName val="A_P_U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Pump_Calcs6"/>
      <sheetName val="Encofrado_BVR_Unispan31"/>
      <sheetName val="Equipo_de_apuntalemiento31"/>
      <sheetName val="Gastos_Generales_BVR31"/>
      <sheetName val="BVR_con_Efco31"/>
      <sheetName val="TIPO_CAMBIO30"/>
      <sheetName val="Tiraje_Mix30"/>
      <sheetName val="MAT_30"/>
      <sheetName val="CONDUCT_20"/>
      <sheetName val="conductores_volquetes20"/>
      <sheetName val="PLANILLAS_FORMATEADAS20"/>
      <sheetName val="CONTEO_DE_DATOS20"/>
      <sheetName val="RESUMEN_DE_PARTIDAS20"/>
      <sheetName val="9_1A20"/>
      <sheetName val="9_2A20"/>
      <sheetName val="9_3A20"/>
      <sheetName val="9_4A20"/>
      <sheetName val="9_5A20"/>
      <sheetName val="9_6A20"/>
      <sheetName val="9_7A20"/>
      <sheetName val="9_8A20"/>
      <sheetName val="9_9A20"/>
      <sheetName val="9_10A20"/>
      <sheetName val="9_11A20"/>
      <sheetName val="9_12A20"/>
      <sheetName val="1_1A20"/>
      <sheetName val="1_2A20"/>
      <sheetName val="1_3A20"/>
      <sheetName val="1_4A20"/>
      <sheetName val="2_1A20"/>
      <sheetName val="2_2A20"/>
      <sheetName val="2_3A20"/>
      <sheetName val="3_1A20"/>
      <sheetName val="3_2A20"/>
      <sheetName val="3_3A20"/>
      <sheetName val="4_1A20"/>
      <sheetName val="4_2A20"/>
      <sheetName val="4_3A20"/>
      <sheetName val="5_1A20"/>
      <sheetName val="5_2A20"/>
      <sheetName val="5_3A20"/>
      <sheetName val="6_1A20"/>
      <sheetName val="6_2A20"/>
      <sheetName val="6_3A20"/>
      <sheetName val="7_1A20"/>
      <sheetName val="7_2A20"/>
      <sheetName val="7_3A20"/>
      <sheetName val="8_1A20"/>
      <sheetName val="8_2A20"/>
      <sheetName val="Resumen_220"/>
      <sheetName val="Resumen_120"/>
      <sheetName val="9_149"/>
      <sheetName val="9_220"/>
      <sheetName val="9_320"/>
      <sheetName val="9_420"/>
      <sheetName val="9_520"/>
      <sheetName val="9_620"/>
      <sheetName val="9_720"/>
      <sheetName val="9_820"/>
      <sheetName val="9_920"/>
      <sheetName val="9_1020"/>
      <sheetName val="9_1121"/>
      <sheetName val="9_1220"/>
      <sheetName val="9_1320"/>
      <sheetName val="1_120"/>
      <sheetName val="1_220"/>
      <sheetName val="1_320"/>
      <sheetName val="2_120"/>
      <sheetName val="2_220"/>
      <sheetName val="2_320"/>
      <sheetName val="3_120"/>
      <sheetName val="3_220"/>
      <sheetName val="3_320"/>
      <sheetName val="4_120"/>
      <sheetName val="4_220"/>
      <sheetName val="4_320"/>
      <sheetName val="5_120"/>
      <sheetName val="5_220"/>
      <sheetName val="5_320"/>
      <sheetName val="6_020"/>
      <sheetName val="6_120"/>
      <sheetName val="6_220"/>
      <sheetName val="6_320"/>
      <sheetName val="7_120"/>
      <sheetName val="7_220"/>
      <sheetName val="7_320"/>
      <sheetName val="8_120"/>
      <sheetName val="8_220"/>
      <sheetName val="Piso_2-520"/>
      <sheetName val="Liebman_1348"/>
      <sheetName val="PROYECTOS_2015_7"/>
      <sheetName val="pu_Estructuras7"/>
      <sheetName val="P_U_7"/>
      <sheetName val="G_G_ESTRUC_7"/>
      <sheetName val="RESUMEN_CLIENTE7"/>
      <sheetName val="ANÁLISIS_GG7"/>
      <sheetName val="Formato_de_Pedido7"/>
      <sheetName val="Condiciones_Generales_de_Venta7"/>
      <sheetName val="Codigo_de_Diseño7"/>
      <sheetName val="Hoja_de_Recursos7"/>
      <sheetName val="Provisionales_7"/>
      <sheetName val="wagerate_by_craft7"/>
      <sheetName val="PPTO_7"/>
      <sheetName val="A_P_U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Pump_Calcs7"/>
      <sheetName val="Encofrado_BVR_Unispan32"/>
      <sheetName val="Equipo_de_apuntalemiento32"/>
      <sheetName val="Gastos_Generales_BVR32"/>
      <sheetName val="BVR_con_Efco32"/>
      <sheetName val="TIPO_CAMBIO31"/>
      <sheetName val="Tiraje_Mix31"/>
      <sheetName val="MAT_31"/>
      <sheetName val="CONDUCT_21"/>
      <sheetName val="conductores_volquetes21"/>
      <sheetName val="PLANILLAS_FORMATEADAS21"/>
      <sheetName val="CONTEO_DE_DATOS21"/>
      <sheetName val="RESUMEN_DE_PARTIDAS21"/>
      <sheetName val="9_1A21"/>
      <sheetName val="9_2A21"/>
      <sheetName val="9_3A21"/>
      <sheetName val="9_4A21"/>
      <sheetName val="9_5A21"/>
      <sheetName val="9_6A21"/>
      <sheetName val="9_7A21"/>
      <sheetName val="9_8A21"/>
      <sheetName val="9_9A21"/>
      <sheetName val="9_10A21"/>
      <sheetName val="9_11A21"/>
      <sheetName val="9_12A21"/>
      <sheetName val="1_1A21"/>
      <sheetName val="1_2A21"/>
      <sheetName val="1_3A21"/>
      <sheetName val="1_4A21"/>
      <sheetName val="2_1A21"/>
      <sheetName val="2_2A21"/>
      <sheetName val="2_3A21"/>
      <sheetName val="3_1A21"/>
      <sheetName val="3_2A21"/>
      <sheetName val="3_3A21"/>
      <sheetName val="4_1A21"/>
      <sheetName val="4_2A21"/>
      <sheetName val="4_3A21"/>
      <sheetName val="5_1A21"/>
      <sheetName val="5_2A21"/>
      <sheetName val="5_3A21"/>
      <sheetName val="6_1A21"/>
      <sheetName val="6_2A21"/>
      <sheetName val="6_3A21"/>
      <sheetName val="7_1A21"/>
      <sheetName val="7_2A21"/>
      <sheetName val="7_3A21"/>
      <sheetName val="8_1A21"/>
      <sheetName val="8_2A21"/>
      <sheetName val="Resumen_221"/>
      <sheetName val="Resumen_121"/>
      <sheetName val="9_150"/>
      <sheetName val="9_221"/>
      <sheetName val="9_321"/>
      <sheetName val="9_421"/>
      <sheetName val="9_521"/>
      <sheetName val="9_621"/>
      <sheetName val="9_721"/>
      <sheetName val="9_821"/>
      <sheetName val="9_921"/>
      <sheetName val="9_1021"/>
      <sheetName val="9_1122"/>
      <sheetName val="9_1221"/>
      <sheetName val="9_1321"/>
      <sheetName val="1_121"/>
      <sheetName val="1_221"/>
      <sheetName val="1_321"/>
      <sheetName val="2_121"/>
      <sheetName val="2_221"/>
      <sheetName val="2_321"/>
      <sheetName val="3_121"/>
      <sheetName val="3_221"/>
      <sheetName val="3_321"/>
      <sheetName val="4_121"/>
      <sheetName val="4_221"/>
      <sheetName val="4_321"/>
      <sheetName val="5_121"/>
      <sheetName val="5_221"/>
      <sheetName val="5_321"/>
      <sheetName val="6_021"/>
      <sheetName val="6_121"/>
      <sheetName val="6_221"/>
      <sheetName val="6_321"/>
      <sheetName val="7_121"/>
      <sheetName val="7_221"/>
      <sheetName val="7_321"/>
      <sheetName val="8_121"/>
      <sheetName val="8_221"/>
      <sheetName val="Piso_2-521"/>
      <sheetName val="Liebman_1349"/>
      <sheetName val="PROYECTOS_2015_8"/>
      <sheetName val="pu_Estructuras8"/>
      <sheetName val="P_U_8"/>
      <sheetName val="G_G_ESTRUC_8"/>
      <sheetName val="RESUMEN_CLIENTE8"/>
      <sheetName val="ANÁLISIS_GG8"/>
      <sheetName val="Formato_de_Pedido8"/>
      <sheetName val="Condiciones_Generales_de_Venta8"/>
      <sheetName val="Codigo_de_Diseño8"/>
      <sheetName val="Hoja_de_Recursos8"/>
      <sheetName val="Provisionales_8"/>
      <sheetName val="wagerate_by_craft8"/>
      <sheetName val="PPTO_8"/>
      <sheetName val="A_P_U8"/>
      <sheetName val="Columnas_de__Cerco8"/>
      <sheetName val="Losa_postensado_h=_0_208"/>
      <sheetName val="Base_de_Equipos8"/>
      <sheetName val="LOSA_DE_PISO_E=_08"/>
      <sheetName val="Columnas_8"/>
      <sheetName val="Muros_de_Cerco8"/>
      <sheetName val="Muros_de_Contencion8"/>
      <sheetName val="Muros_Pantalla_8"/>
      <sheetName val="Cimiento_Corrido8"/>
      <sheetName val="V_C_8"/>
      <sheetName val="Vigas_y_Cortes8"/>
      <sheetName val="Cimentacion_Armada8"/>
      <sheetName val="VIGAS_DE_AMARRE_Y_DINTELES8"/>
      <sheetName val="Relleno_Rampa8"/>
      <sheetName val="Viguetas_Firth8"/>
      <sheetName val="B__equipos8"/>
      <sheetName val="Pump_Calcs8"/>
      <sheetName val="Encofrado_BVR_Unispan33"/>
      <sheetName val="Equipo_de_apuntalemiento33"/>
      <sheetName val="Gastos_Generales_BVR33"/>
      <sheetName val="BVR_con_Efco33"/>
      <sheetName val="TIPO_CAMBIO32"/>
      <sheetName val="Tiraje_Mix32"/>
      <sheetName val="MAT_32"/>
      <sheetName val="CONDUCT_22"/>
      <sheetName val="conductores_volquetes22"/>
      <sheetName val="PLANILLAS_FORMATEADAS22"/>
      <sheetName val="CONTEO_DE_DATOS22"/>
      <sheetName val="RESUMEN_DE_PARTIDAS22"/>
      <sheetName val="9_1A22"/>
      <sheetName val="9_2A22"/>
      <sheetName val="9_3A22"/>
      <sheetName val="9_4A22"/>
      <sheetName val="9_5A22"/>
      <sheetName val="9_6A22"/>
      <sheetName val="9_7A22"/>
      <sheetName val="9_8A22"/>
      <sheetName val="9_9A22"/>
      <sheetName val="9_10A22"/>
      <sheetName val="9_11A22"/>
      <sheetName val="9_12A22"/>
      <sheetName val="1_1A22"/>
      <sheetName val="1_2A22"/>
      <sheetName val="1_3A22"/>
      <sheetName val="1_4A22"/>
      <sheetName val="2_1A22"/>
      <sheetName val="2_2A22"/>
      <sheetName val="2_3A22"/>
      <sheetName val="3_1A22"/>
      <sheetName val="3_2A22"/>
      <sheetName val="3_3A22"/>
      <sheetName val="4_1A22"/>
      <sheetName val="4_2A22"/>
      <sheetName val="4_3A22"/>
      <sheetName val="5_1A22"/>
      <sheetName val="5_2A22"/>
      <sheetName val="5_3A22"/>
      <sheetName val="6_1A22"/>
      <sheetName val="6_2A22"/>
      <sheetName val="6_3A22"/>
      <sheetName val="7_1A22"/>
      <sheetName val="7_2A22"/>
      <sheetName val="7_3A22"/>
      <sheetName val="8_1A22"/>
      <sheetName val="8_2A22"/>
      <sheetName val="Resumen_222"/>
      <sheetName val="Resumen_122"/>
      <sheetName val="9_151"/>
      <sheetName val="9_222"/>
      <sheetName val="9_322"/>
      <sheetName val="9_422"/>
      <sheetName val="9_522"/>
      <sheetName val="9_622"/>
      <sheetName val="9_722"/>
      <sheetName val="9_822"/>
      <sheetName val="9_922"/>
      <sheetName val="9_1022"/>
      <sheetName val="9_1123"/>
      <sheetName val="9_1222"/>
      <sheetName val="9_1322"/>
      <sheetName val="1_122"/>
      <sheetName val="1_222"/>
      <sheetName val="1_322"/>
      <sheetName val="2_122"/>
      <sheetName val="2_222"/>
      <sheetName val="2_322"/>
      <sheetName val="3_122"/>
      <sheetName val="3_222"/>
      <sheetName val="3_322"/>
      <sheetName val="4_122"/>
      <sheetName val="4_222"/>
      <sheetName val="4_322"/>
      <sheetName val="5_122"/>
      <sheetName val="5_222"/>
      <sheetName val="5_322"/>
      <sheetName val="6_022"/>
      <sheetName val="6_122"/>
      <sheetName val="6_222"/>
      <sheetName val="6_322"/>
      <sheetName val="7_122"/>
      <sheetName val="7_222"/>
      <sheetName val="7_322"/>
      <sheetName val="8_122"/>
      <sheetName val="8_222"/>
      <sheetName val="Piso_2-522"/>
      <sheetName val="Liebman_13410"/>
      <sheetName val="PROYECTOS_2015_9"/>
      <sheetName val="pu_Estructuras9"/>
      <sheetName val="P_U_9"/>
      <sheetName val="G_G_ESTRUC_9"/>
      <sheetName val="RESUMEN_CLIENTE9"/>
      <sheetName val="ANÁLISIS_GG9"/>
      <sheetName val="Formato_de_Pedido9"/>
      <sheetName val="Condiciones_Generales_de_Venta9"/>
      <sheetName val="Codigo_de_Diseño9"/>
      <sheetName val="Hoja_de_Recursos9"/>
      <sheetName val="Provisionales_9"/>
      <sheetName val="wagerate_by_craft9"/>
      <sheetName val="PPTO_9"/>
      <sheetName val="A_P_U9"/>
      <sheetName val="Columnas_de__Cerco9"/>
      <sheetName val="Losa_postensado_h=_0_209"/>
      <sheetName val="Base_de_Equipos9"/>
      <sheetName val="LOSA_DE_PISO_E=_09"/>
      <sheetName val="Columnas_9"/>
      <sheetName val="Muros_de_Cerco9"/>
      <sheetName val="Muros_de_Contencion9"/>
      <sheetName val="Muros_Pantalla_9"/>
      <sheetName val="Cimiento_Corrido9"/>
      <sheetName val="V_C_9"/>
      <sheetName val="Vigas_y_Cortes9"/>
      <sheetName val="Cimentacion_Armada9"/>
      <sheetName val="VIGAS_DE_AMARRE_Y_DINTELES9"/>
      <sheetName val="Relleno_Rampa9"/>
      <sheetName val="Viguetas_Firth9"/>
      <sheetName val="B__equipos9"/>
      <sheetName val="Pump_Calcs9"/>
      <sheetName val="Encofrado_BVR_Unispan35"/>
      <sheetName val="Equipo_de_apuntalemiento35"/>
      <sheetName val="Gastos_Generales_BVR35"/>
      <sheetName val="BVR_con_Efco35"/>
      <sheetName val="TIPO_CAMBIO34"/>
      <sheetName val="Tiraje_Mix34"/>
      <sheetName val="MAT_34"/>
      <sheetName val="CONDUCT_24"/>
      <sheetName val="conductores_volquetes24"/>
      <sheetName val="PLANILLAS_FORMATEADAS24"/>
      <sheetName val="CONTEO_DE_DATOS24"/>
      <sheetName val="RESUMEN_DE_PARTIDAS24"/>
      <sheetName val="9_1A24"/>
      <sheetName val="9_2A24"/>
      <sheetName val="9_3A24"/>
      <sheetName val="9_4A24"/>
      <sheetName val="9_5A24"/>
      <sheetName val="9_6A24"/>
      <sheetName val="9_7A24"/>
      <sheetName val="9_8A24"/>
      <sheetName val="9_9A24"/>
      <sheetName val="9_10A24"/>
      <sheetName val="9_11A24"/>
      <sheetName val="9_12A24"/>
      <sheetName val="1_1A24"/>
      <sheetName val="1_2A24"/>
      <sheetName val="1_3A24"/>
      <sheetName val="1_4A24"/>
      <sheetName val="2_1A24"/>
      <sheetName val="2_2A24"/>
      <sheetName val="2_3A24"/>
      <sheetName val="3_1A24"/>
      <sheetName val="3_2A24"/>
      <sheetName val="3_3A24"/>
      <sheetName val="4_1A24"/>
      <sheetName val="4_2A24"/>
      <sheetName val="4_3A24"/>
      <sheetName val="5_1A24"/>
      <sheetName val="5_2A24"/>
      <sheetName val="5_3A24"/>
      <sheetName val="6_1A24"/>
      <sheetName val="6_2A24"/>
      <sheetName val="6_3A24"/>
      <sheetName val="7_1A24"/>
      <sheetName val="7_2A24"/>
      <sheetName val="7_3A24"/>
      <sheetName val="8_1A24"/>
      <sheetName val="8_2A24"/>
      <sheetName val="Resumen_224"/>
      <sheetName val="Resumen_124"/>
      <sheetName val="9_153"/>
      <sheetName val="9_224"/>
      <sheetName val="9_324"/>
      <sheetName val="9_424"/>
      <sheetName val="9_524"/>
      <sheetName val="9_624"/>
      <sheetName val="9_724"/>
      <sheetName val="9_824"/>
      <sheetName val="9_924"/>
      <sheetName val="9_1024"/>
      <sheetName val="9_1125"/>
      <sheetName val="9_1224"/>
      <sheetName val="9_1324"/>
      <sheetName val="1_124"/>
      <sheetName val="1_224"/>
      <sheetName val="1_324"/>
      <sheetName val="2_124"/>
      <sheetName val="2_224"/>
      <sheetName val="2_324"/>
      <sheetName val="3_124"/>
      <sheetName val="3_224"/>
      <sheetName val="3_324"/>
      <sheetName val="4_124"/>
      <sheetName val="4_224"/>
      <sheetName val="4_324"/>
      <sheetName val="5_124"/>
      <sheetName val="5_224"/>
      <sheetName val="5_324"/>
      <sheetName val="6_024"/>
      <sheetName val="6_124"/>
      <sheetName val="6_224"/>
      <sheetName val="6_324"/>
      <sheetName val="7_124"/>
      <sheetName val="7_224"/>
      <sheetName val="7_324"/>
      <sheetName val="8_124"/>
      <sheetName val="8_224"/>
      <sheetName val="Piso_2-524"/>
      <sheetName val="Liebman_13412"/>
      <sheetName val="PROYECTOS_2015_11"/>
      <sheetName val="pu_Estructuras11"/>
      <sheetName val="P_U_11"/>
      <sheetName val="G_G_ESTRUC_11"/>
      <sheetName val="RESUMEN_CLIENTE11"/>
      <sheetName val="ANÁLISIS_GG11"/>
      <sheetName val="Formato_de_Pedido11"/>
      <sheetName val="Condiciones_Generales_de_Vent11"/>
      <sheetName val="Codigo_de_Diseño11"/>
      <sheetName val="Hoja_de_Recursos11"/>
      <sheetName val="Provisionales_11"/>
      <sheetName val="wagerate_by_craft11"/>
      <sheetName val="PPTO_11"/>
      <sheetName val="A_P_U11"/>
      <sheetName val="Columnas_de__Cerco11"/>
      <sheetName val="Losa_postensado_h=_0_2011"/>
      <sheetName val="Base_de_Equipos11"/>
      <sheetName val="LOSA_DE_PISO_E=_011"/>
      <sheetName val="Columnas_11"/>
      <sheetName val="Muros_de_Cerco11"/>
      <sheetName val="Muros_de_Contencion11"/>
      <sheetName val="Muros_Pantalla_11"/>
      <sheetName val="Cimiento_Corrido11"/>
      <sheetName val="V_C_11"/>
      <sheetName val="Vigas_y_Cortes11"/>
      <sheetName val="Cimentacion_Armada11"/>
      <sheetName val="VIGAS_DE_AMARRE_Y_DINTELES11"/>
      <sheetName val="Relleno_Rampa11"/>
      <sheetName val="Viguetas_Firth11"/>
      <sheetName val="B__equipos11"/>
      <sheetName val="Pump_Calcs11"/>
      <sheetName val="Sol_Val"/>
      <sheetName val="Res_Val"/>
      <sheetName val="OBRAS_PROV__Y_PRELIM_"/>
      <sheetName val="EST_ESCALERAS"/>
      <sheetName val="PC-19053_RP_PURUCHUCO"/>
      <sheetName val="Encofrado_BVR_Unispan34"/>
      <sheetName val="Equipo_de_apuntalemiento34"/>
      <sheetName val="Gastos_Generales_BVR34"/>
      <sheetName val="BVR_con_Efco34"/>
      <sheetName val="TIPO_CAMBIO33"/>
      <sheetName val="Tiraje_Mix33"/>
      <sheetName val="MAT_33"/>
      <sheetName val="CONDUCT_23"/>
      <sheetName val="conductores_volquetes23"/>
      <sheetName val="PLANILLAS_FORMATEADAS23"/>
      <sheetName val="CONTEO_DE_DATOS23"/>
      <sheetName val="RESUMEN_DE_PARTIDAS23"/>
      <sheetName val="9_1A23"/>
      <sheetName val="9_2A23"/>
      <sheetName val="9_3A23"/>
      <sheetName val="9_4A23"/>
      <sheetName val="9_5A23"/>
      <sheetName val="9_6A23"/>
      <sheetName val="9_7A23"/>
      <sheetName val="9_8A23"/>
      <sheetName val="9_9A23"/>
      <sheetName val="9_10A23"/>
      <sheetName val="9_11A23"/>
      <sheetName val="9_12A23"/>
      <sheetName val="1_1A23"/>
      <sheetName val="1_2A23"/>
      <sheetName val="1_3A23"/>
      <sheetName val="1_4A23"/>
      <sheetName val="2_1A23"/>
      <sheetName val="2_2A23"/>
      <sheetName val="2_3A23"/>
      <sheetName val="3_1A23"/>
      <sheetName val="3_2A23"/>
      <sheetName val="3_3A23"/>
      <sheetName val="4_1A23"/>
      <sheetName val="4_2A23"/>
      <sheetName val="4_3A23"/>
      <sheetName val="5_1A23"/>
      <sheetName val="5_2A23"/>
      <sheetName val="5_3A23"/>
      <sheetName val="6_1A23"/>
      <sheetName val="6_2A23"/>
      <sheetName val="6_3A23"/>
      <sheetName val="7_1A23"/>
      <sheetName val="7_2A23"/>
      <sheetName val="7_3A23"/>
      <sheetName val="8_1A23"/>
      <sheetName val="8_2A23"/>
      <sheetName val="Resumen_223"/>
      <sheetName val="Resumen_123"/>
      <sheetName val="9_152"/>
      <sheetName val="9_223"/>
      <sheetName val="9_323"/>
      <sheetName val="9_423"/>
      <sheetName val="9_523"/>
      <sheetName val="9_623"/>
      <sheetName val="9_723"/>
      <sheetName val="9_823"/>
      <sheetName val="9_923"/>
      <sheetName val="9_1023"/>
      <sheetName val="9_1124"/>
      <sheetName val="9_1223"/>
      <sheetName val="9_1323"/>
      <sheetName val="1_123"/>
      <sheetName val="1_223"/>
      <sheetName val="1_323"/>
      <sheetName val="2_123"/>
      <sheetName val="2_223"/>
      <sheetName val="2_323"/>
      <sheetName val="3_123"/>
      <sheetName val="3_223"/>
      <sheetName val="3_323"/>
      <sheetName val="4_123"/>
      <sheetName val="4_223"/>
      <sheetName val="4_323"/>
      <sheetName val="5_123"/>
      <sheetName val="5_223"/>
      <sheetName val="5_323"/>
      <sheetName val="6_023"/>
      <sheetName val="6_123"/>
      <sheetName val="6_223"/>
      <sheetName val="6_323"/>
      <sheetName val="7_123"/>
      <sheetName val="7_223"/>
      <sheetName val="7_323"/>
      <sheetName val="8_123"/>
      <sheetName val="8_223"/>
      <sheetName val="Piso_2-523"/>
      <sheetName val="Liebman_13411"/>
      <sheetName val="PROYECTOS_2015_10"/>
      <sheetName val="pu_Estructuras10"/>
      <sheetName val="P_U_10"/>
      <sheetName val="G_G_ESTRUC_10"/>
      <sheetName val="RESUMEN_CLIENTE10"/>
      <sheetName val="ANÁLISIS_GG10"/>
      <sheetName val="Formato_de_Pedido10"/>
      <sheetName val="Condiciones_Generales_de_Vent10"/>
      <sheetName val="Codigo_de_Diseño10"/>
      <sheetName val="Hoja_de_Recursos10"/>
      <sheetName val="Provisionales_10"/>
      <sheetName val="wagerate_by_craft10"/>
      <sheetName val="PPTO_10"/>
      <sheetName val="A_P_U10"/>
      <sheetName val="Columnas_de__Cerco10"/>
      <sheetName val="Losa_postensado_h=_0_2010"/>
      <sheetName val="Base_de_Equipos10"/>
      <sheetName val="LOSA_DE_PISO_E=_010"/>
      <sheetName val="Columnas_10"/>
      <sheetName val="Muros_de_Cerco10"/>
      <sheetName val="Muros_de_Contencion10"/>
      <sheetName val="Muros_Pantalla_10"/>
      <sheetName val="Cimiento_Corrido10"/>
      <sheetName val="V_C_10"/>
      <sheetName val="Vigas_y_Cortes10"/>
      <sheetName val="Cimentacion_Armada10"/>
      <sheetName val="VIGAS_DE_AMARRE_Y_DINTELES10"/>
      <sheetName val="Relleno_Rampa10"/>
      <sheetName val="Viguetas_Firth10"/>
      <sheetName val="B__equipos10"/>
      <sheetName val="Pump_Calcs10"/>
      <sheetName val="Encofrado_BVR_Unispan36"/>
      <sheetName val="Equipo_de_apuntalemiento36"/>
      <sheetName val="Gastos_Generales_BVR36"/>
      <sheetName val="BVR_con_Efco36"/>
      <sheetName val="TIPO_CAMBIO35"/>
      <sheetName val="Tiraje_Mix35"/>
      <sheetName val="MAT_35"/>
      <sheetName val="CONDUCT_25"/>
      <sheetName val="conductores_volquetes25"/>
      <sheetName val="PLANILLAS_FORMATEADAS25"/>
      <sheetName val="CONTEO_DE_DATOS25"/>
      <sheetName val="RESUMEN_DE_PARTIDAS25"/>
      <sheetName val="9_1A25"/>
      <sheetName val="9_2A25"/>
      <sheetName val="9_3A25"/>
      <sheetName val="9_4A25"/>
      <sheetName val="9_5A25"/>
      <sheetName val="9_6A25"/>
      <sheetName val="9_7A25"/>
      <sheetName val="9_8A25"/>
      <sheetName val="9_9A25"/>
      <sheetName val="9_10A25"/>
      <sheetName val="9_11A25"/>
      <sheetName val="9_12A25"/>
      <sheetName val="1_1A25"/>
      <sheetName val="1_2A25"/>
      <sheetName val="1_3A25"/>
      <sheetName val="1_4A25"/>
      <sheetName val="2_1A25"/>
      <sheetName val="2_2A25"/>
      <sheetName val="2_3A25"/>
      <sheetName val="3_1A25"/>
      <sheetName val="3_2A25"/>
      <sheetName val="3_3A25"/>
      <sheetName val="4_1A25"/>
      <sheetName val="4_2A25"/>
      <sheetName val="4_3A25"/>
      <sheetName val="5_1A25"/>
      <sheetName val="5_2A25"/>
      <sheetName val="5_3A25"/>
      <sheetName val="6_1A25"/>
      <sheetName val="6_2A25"/>
      <sheetName val="6_3A25"/>
      <sheetName val="7_1A25"/>
      <sheetName val="7_2A25"/>
      <sheetName val="7_3A25"/>
      <sheetName val="8_1A25"/>
      <sheetName val="8_2A25"/>
      <sheetName val="Resumen_225"/>
      <sheetName val="Resumen_125"/>
      <sheetName val="9_154"/>
      <sheetName val="9_225"/>
      <sheetName val="9_325"/>
      <sheetName val="9_425"/>
      <sheetName val="9_525"/>
      <sheetName val="9_625"/>
      <sheetName val="9_725"/>
      <sheetName val="9_825"/>
      <sheetName val="9_925"/>
      <sheetName val="9_1025"/>
      <sheetName val="9_1126"/>
      <sheetName val="9_1225"/>
      <sheetName val="9_1325"/>
      <sheetName val="1_125"/>
      <sheetName val="1_225"/>
      <sheetName val="1_325"/>
      <sheetName val="2_125"/>
      <sheetName val="2_225"/>
      <sheetName val="2_325"/>
      <sheetName val="3_125"/>
      <sheetName val="3_225"/>
      <sheetName val="3_325"/>
      <sheetName val="4_125"/>
      <sheetName val="4_225"/>
      <sheetName val="4_325"/>
      <sheetName val="5_125"/>
      <sheetName val="5_225"/>
      <sheetName val="5_325"/>
      <sheetName val="6_025"/>
      <sheetName val="6_125"/>
      <sheetName val="6_225"/>
      <sheetName val="6_325"/>
      <sheetName val="7_125"/>
      <sheetName val="7_225"/>
      <sheetName val="7_325"/>
      <sheetName val="8_125"/>
      <sheetName val="8_225"/>
      <sheetName val="Piso_2-525"/>
      <sheetName val="Liebman_13413"/>
      <sheetName val="PROYECTOS_2015_12"/>
      <sheetName val="pu_Estructuras12"/>
      <sheetName val="P_U_12"/>
      <sheetName val="G_G_ESTRUC_12"/>
      <sheetName val="RESUMEN_CLIENTE12"/>
      <sheetName val="ANÁLISIS_GG12"/>
      <sheetName val="Formato_de_Pedido12"/>
      <sheetName val="Condiciones_Generales_de_Vent12"/>
      <sheetName val="Codigo_de_Diseño12"/>
      <sheetName val="Hoja_de_Recursos12"/>
      <sheetName val="Provisionales_12"/>
      <sheetName val="wagerate_by_craft12"/>
      <sheetName val="PPTO_12"/>
      <sheetName val="A_P_U12"/>
      <sheetName val="Columnas_de__Cerco12"/>
      <sheetName val="Losa_postensado_h=_0_2012"/>
      <sheetName val="Base_de_Equipos12"/>
      <sheetName val="LOSA_DE_PISO_E=_012"/>
      <sheetName val="Columnas_12"/>
      <sheetName val="Muros_de_Cerco12"/>
      <sheetName val="Muros_de_Contencion12"/>
      <sheetName val="Muros_Pantalla_12"/>
      <sheetName val="Cimiento_Corrido12"/>
      <sheetName val="V_C_12"/>
      <sheetName val="Vigas_y_Cortes12"/>
      <sheetName val="Cimentacion_Armada12"/>
      <sheetName val="VIGAS_DE_AMARRE_Y_DINTELES12"/>
      <sheetName val="Relleno_Rampa12"/>
      <sheetName val="Viguetas_Firth12"/>
      <sheetName val="B__equipos12"/>
      <sheetName val="Pump_Calcs12"/>
      <sheetName val="Sol_Val1"/>
      <sheetName val="Res_Val1"/>
      <sheetName val="OBRAS_PROV__Y_PRELIM_1"/>
      <sheetName val="EST_ESCALERAS1"/>
      <sheetName val="PC-19053_RP_PURUCHUCO1"/>
      <sheetName val="Encofrado_BVR_Unispan37"/>
      <sheetName val="Equipo_de_apuntalemiento37"/>
      <sheetName val="Gastos_Generales_BVR37"/>
      <sheetName val="BVR_con_Efco37"/>
      <sheetName val="TIPO_CAMBIO36"/>
      <sheetName val="Tiraje_Mix36"/>
      <sheetName val="MAT_36"/>
      <sheetName val="CONDUCT_26"/>
      <sheetName val="conductores_volquetes26"/>
      <sheetName val="PLANILLAS_FORMATEADAS26"/>
      <sheetName val="CONTEO_DE_DATOS26"/>
      <sheetName val="RESUMEN_DE_PARTIDAS26"/>
      <sheetName val="9_1A26"/>
      <sheetName val="9_2A26"/>
      <sheetName val="9_3A26"/>
      <sheetName val="9_4A26"/>
      <sheetName val="9_5A26"/>
      <sheetName val="9_6A26"/>
      <sheetName val="9_7A26"/>
      <sheetName val="9_8A26"/>
      <sheetName val="9_9A26"/>
      <sheetName val="9_10A26"/>
      <sheetName val="9_11A26"/>
      <sheetName val="9_12A26"/>
      <sheetName val="1_1A26"/>
      <sheetName val="1_2A26"/>
      <sheetName val="1_3A26"/>
      <sheetName val="1_4A26"/>
      <sheetName val="2_1A26"/>
      <sheetName val="2_2A26"/>
      <sheetName val="2_3A26"/>
      <sheetName val="3_1A26"/>
      <sheetName val="3_2A26"/>
      <sheetName val="3_3A26"/>
      <sheetName val="4_1A26"/>
      <sheetName val="4_2A26"/>
      <sheetName val="4_3A26"/>
      <sheetName val="5_1A26"/>
      <sheetName val="5_2A26"/>
      <sheetName val="5_3A26"/>
      <sheetName val="6_1A26"/>
      <sheetName val="6_2A26"/>
      <sheetName val="6_3A26"/>
      <sheetName val="7_1A26"/>
      <sheetName val="7_2A26"/>
      <sheetName val="7_3A26"/>
      <sheetName val="8_1A26"/>
      <sheetName val="8_2A26"/>
      <sheetName val="Resumen_226"/>
      <sheetName val="Resumen_126"/>
      <sheetName val="9_155"/>
      <sheetName val="9_226"/>
      <sheetName val="9_326"/>
      <sheetName val="9_426"/>
      <sheetName val="9_526"/>
      <sheetName val="9_626"/>
      <sheetName val="9_726"/>
      <sheetName val="9_826"/>
      <sheetName val="9_926"/>
      <sheetName val="9_1026"/>
      <sheetName val="9_1127"/>
      <sheetName val="9_1226"/>
      <sheetName val="9_1326"/>
      <sheetName val="1_126"/>
      <sheetName val="1_226"/>
      <sheetName val="1_326"/>
      <sheetName val="2_126"/>
      <sheetName val="2_226"/>
      <sheetName val="2_326"/>
      <sheetName val="3_126"/>
      <sheetName val="3_226"/>
      <sheetName val="3_326"/>
      <sheetName val="4_126"/>
      <sheetName val="4_226"/>
      <sheetName val="4_326"/>
      <sheetName val="5_126"/>
      <sheetName val="5_226"/>
      <sheetName val="5_326"/>
      <sheetName val="6_026"/>
      <sheetName val="6_126"/>
      <sheetName val="6_226"/>
      <sheetName val="6_326"/>
      <sheetName val="7_126"/>
      <sheetName val="7_226"/>
      <sheetName val="7_326"/>
      <sheetName val="8_126"/>
      <sheetName val="8_226"/>
      <sheetName val="Piso_2-526"/>
      <sheetName val="Liebman_13414"/>
      <sheetName val="PROYECTOS_2015_13"/>
      <sheetName val="pu_Estructuras13"/>
      <sheetName val="P_U_13"/>
      <sheetName val="G_G_ESTRUC_13"/>
      <sheetName val="RESUMEN_CLIENTE13"/>
      <sheetName val="ANÁLISIS_GG13"/>
      <sheetName val="Formato_de_Pedido13"/>
      <sheetName val="Condiciones_Generales_de_Vent13"/>
      <sheetName val="Codigo_de_Diseño13"/>
      <sheetName val="Hoja_de_Recursos13"/>
      <sheetName val="Provisionales_13"/>
      <sheetName val="wagerate_by_craft13"/>
      <sheetName val="PPTO_13"/>
      <sheetName val="A_P_U13"/>
      <sheetName val="Columnas_de__Cerco13"/>
      <sheetName val="Losa_postensado_h=_0_2013"/>
      <sheetName val="Base_de_Equipos13"/>
      <sheetName val="LOSA_DE_PISO_E=_013"/>
      <sheetName val="Columnas_13"/>
      <sheetName val="Muros_de_Cerco13"/>
      <sheetName val="Muros_de_Contencion13"/>
      <sheetName val="Muros_Pantalla_13"/>
      <sheetName val="Cimiento_Corrido13"/>
      <sheetName val="V_C_13"/>
      <sheetName val="Vigas_y_Cortes13"/>
      <sheetName val="Cimentacion_Armada13"/>
      <sheetName val="VIGAS_DE_AMARRE_Y_DINTELES13"/>
      <sheetName val="Relleno_Rampa13"/>
      <sheetName val="Viguetas_Firth13"/>
      <sheetName val="B__equipos13"/>
      <sheetName val="Pump_Calcs13"/>
      <sheetName val="strsumm0"/>
      <sheetName val="PRECIOS "/>
      <sheetName val="A"/>
      <sheetName val="f-05"/>
      <sheetName val="Encofrado_BVR_Unispan39"/>
      <sheetName val="Equipo_de_apuntalemiento39"/>
      <sheetName val="Gastos_Generales_BVR39"/>
      <sheetName val="BVR_con_Efco39"/>
      <sheetName val="Tiraje_Mix38"/>
      <sheetName val="TIPO_CAMBIO38"/>
      <sheetName val="MAT_38"/>
      <sheetName val="CONDUCT_28"/>
      <sheetName val="PLANILLAS_FORMATEADAS28"/>
      <sheetName val="CONTEO_DE_DATOS28"/>
      <sheetName val="RESUMEN_DE_PARTIDAS28"/>
      <sheetName val="conductores_volquetes28"/>
      <sheetName val="9_1A28"/>
      <sheetName val="9_2A28"/>
      <sheetName val="9_3A28"/>
      <sheetName val="9_4A28"/>
      <sheetName val="9_5A28"/>
      <sheetName val="9_6A28"/>
      <sheetName val="9_7A28"/>
      <sheetName val="9_8A28"/>
      <sheetName val="9_9A28"/>
      <sheetName val="9_10A28"/>
      <sheetName val="9_11A28"/>
      <sheetName val="9_12A28"/>
      <sheetName val="1_1A28"/>
      <sheetName val="1_2A28"/>
      <sheetName val="1_3A28"/>
      <sheetName val="1_4A28"/>
      <sheetName val="2_1A28"/>
      <sheetName val="2_2A28"/>
      <sheetName val="2_3A28"/>
      <sheetName val="3_1A28"/>
      <sheetName val="3_2A28"/>
      <sheetName val="3_3A28"/>
      <sheetName val="4_1A28"/>
      <sheetName val="4_2A28"/>
      <sheetName val="4_3A28"/>
      <sheetName val="5_1A28"/>
      <sheetName val="5_2A28"/>
      <sheetName val="5_3A28"/>
      <sheetName val="6_1A28"/>
      <sheetName val="6_2A28"/>
      <sheetName val="6_3A28"/>
      <sheetName val="7_1A28"/>
      <sheetName val="7_2A28"/>
      <sheetName val="7_3A28"/>
      <sheetName val="8_1A28"/>
      <sheetName val="8_2A28"/>
      <sheetName val="Resumen_228"/>
      <sheetName val="Resumen_128"/>
      <sheetName val="9_157"/>
      <sheetName val="9_228"/>
      <sheetName val="9_328"/>
      <sheetName val="9_428"/>
      <sheetName val="9_528"/>
      <sheetName val="9_628"/>
      <sheetName val="9_728"/>
      <sheetName val="9_828"/>
      <sheetName val="9_928"/>
      <sheetName val="9_1028"/>
      <sheetName val="9_1129"/>
      <sheetName val="9_1228"/>
      <sheetName val="9_1328"/>
      <sheetName val="1_128"/>
      <sheetName val="1_228"/>
      <sheetName val="1_328"/>
      <sheetName val="2_128"/>
      <sheetName val="2_228"/>
      <sheetName val="2_328"/>
      <sheetName val="3_128"/>
      <sheetName val="3_228"/>
      <sheetName val="3_328"/>
      <sheetName val="4_128"/>
      <sheetName val="4_228"/>
      <sheetName val="4_328"/>
      <sheetName val="5_128"/>
      <sheetName val="5_228"/>
      <sheetName val="5_328"/>
      <sheetName val="6_028"/>
      <sheetName val="6_128"/>
      <sheetName val="6_228"/>
      <sheetName val="6_328"/>
      <sheetName val="7_128"/>
      <sheetName val="7_228"/>
      <sheetName val="7_328"/>
      <sheetName val="8_128"/>
      <sheetName val="8_228"/>
      <sheetName val="Piso_2-528"/>
      <sheetName val="Liebman_13416"/>
      <sheetName val="PROYECTOS_2015_15"/>
      <sheetName val="P_U_15"/>
      <sheetName val="G_G_ESTRUC_15"/>
      <sheetName val="RESUMEN_CLIENTE15"/>
      <sheetName val="Formato_de_Pedido15"/>
      <sheetName val="Condiciones_Generales_de_Vent15"/>
      <sheetName val="Codigo_de_Diseño15"/>
      <sheetName val="Hoja_de_Recursos15"/>
      <sheetName val="Provisionales_15"/>
      <sheetName val="wagerate_by_craft15"/>
      <sheetName val="PPTO_15"/>
      <sheetName val="A_P_U15"/>
      <sheetName val="pu_Estructuras15"/>
      <sheetName val="ANÁLISIS_GG15"/>
      <sheetName val="Columnas_de__Cerco15"/>
      <sheetName val="Losa_postensado_h=_0_2015"/>
      <sheetName val="Base_de_Equipos15"/>
      <sheetName val="LOSA_DE_PISO_E=_015"/>
      <sheetName val="Columnas_15"/>
      <sheetName val="Muros_de_Cerco15"/>
      <sheetName val="Muros_de_Contencion15"/>
      <sheetName val="Muros_Pantalla_15"/>
      <sheetName val="Cimiento_Corrido15"/>
      <sheetName val="V_C_15"/>
      <sheetName val="Vigas_y_Cortes15"/>
      <sheetName val="Cimentacion_Armada15"/>
      <sheetName val="VIGAS_DE_AMARRE_Y_DINTELES15"/>
      <sheetName val="Relleno_Rampa15"/>
      <sheetName val="Viguetas_Firth15"/>
      <sheetName val="B__equipos15"/>
      <sheetName val="Pump_Calcs15"/>
      <sheetName val="Metrado_01"/>
      <sheetName val="Metrado_02"/>
      <sheetName val="Sol_Val3"/>
      <sheetName val="Res_Val3"/>
      <sheetName val="OBRAS_PROV__Y_PRELIM_3"/>
      <sheetName val="EST_ESCALERAS3"/>
      <sheetName val="PC-19053_RP_PURUCHUCO3"/>
      <sheetName val="O_CIVIL"/>
      <sheetName val="IIMM_LIQ"/>
      <sheetName val="PLANILA_OC"/>
      <sheetName val="RESUMEN_METRADOS_(2)"/>
      <sheetName val="L_MACIZAS"/>
      <sheetName val="PLACAS_MP"/>
      <sheetName val="PLACAS_EDIF"/>
      <sheetName val="PRECIOS_"/>
      <sheetName val="MATER_CONCENTR_CBV99"/>
      <sheetName val="COSTO-MANO-OBRA-_CBV99"/>
      <sheetName val="MATER_CBV2000"/>
      <sheetName val="DISTR.MANT.ELECTRICA"/>
      <sheetName val="DOTACION_CBV99"/>
      <sheetName val="SIN IGV GR (2)"/>
      <sheetName val="CRONO"/>
      <sheetName val="Data"/>
      <sheetName val="PreED"/>
      <sheetName val="ANALISIS ALQUILER FERREYROS"/>
      <sheetName val="1.0 Partidas"/>
      <sheetName val="APU"/>
      <sheetName val="SubPartida"/>
      <sheetName val="1. Precio Unitarios"/>
      <sheetName val="2. APU"/>
      <sheetName val="Precios"/>
      <sheetName val="Tarifa Equipos"/>
      <sheetName val="Material+Flete"/>
      <sheetName val="Mano de Obra"/>
      <sheetName val="EPP"/>
      <sheetName val="Inversiones"/>
      <sheetName val="Programa Producción"/>
      <sheetName val="Desarrollo"/>
      <sheetName val="Leyes"/>
      <sheetName val="BASE DE DATOS"/>
      <sheetName val="lima-canta"/>
      <sheetName val="Input"/>
      <sheetName val="Encofrado_BVR_Unispan40"/>
      <sheetName val="Equipo_de_apuntalemiento40"/>
      <sheetName val="Gastos_Generales_BVR40"/>
      <sheetName val="BVR_con_Efco40"/>
      <sheetName val="TIPO_CAMBIO39"/>
      <sheetName val="Tiraje_Mix39"/>
      <sheetName val="MAT_39"/>
      <sheetName val="CONDUCT_29"/>
      <sheetName val="conductores_volquetes29"/>
      <sheetName val="PLANILLAS_FORMATEADAS29"/>
      <sheetName val="CONTEO_DE_DATOS29"/>
      <sheetName val="RESUMEN_DE_PARTIDAS29"/>
      <sheetName val="9_1A29"/>
      <sheetName val="9_2A29"/>
      <sheetName val="9_3A29"/>
      <sheetName val="9_4A29"/>
      <sheetName val="9_5A29"/>
      <sheetName val="9_6A29"/>
      <sheetName val="9_7A29"/>
      <sheetName val="9_8A29"/>
      <sheetName val="9_9A29"/>
      <sheetName val="9_10A29"/>
      <sheetName val="9_11A29"/>
      <sheetName val="9_12A29"/>
      <sheetName val="1_1A29"/>
      <sheetName val="1_2A29"/>
      <sheetName val="1_3A29"/>
      <sheetName val="1_4A29"/>
      <sheetName val="2_1A29"/>
      <sheetName val="2_2A29"/>
      <sheetName val="2_3A29"/>
      <sheetName val="3_1A29"/>
      <sheetName val="3_2A29"/>
      <sheetName val="3_3A29"/>
      <sheetName val="4_1A29"/>
      <sheetName val="4_2A29"/>
      <sheetName val="4_3A29"/>
      <sheetName val="5_1A29"/>
      <sheetName val="5_2A29"/>
      <sheetName val="5_3A29"/>
      <sheetName val="6_1A29"/>
      <sheetName val="6_2A29"/>
      <sheetName val="6_3A29"/>
      <sheetName val="7_1A29"/>
      <sheetName val="7_2A29"/>
      <sheetName val="7_3A29"/>
      <sheetName val="8_1A29"/>
      <sheetName val="8_2A29"/>
      <sheetName val="Resumen_229"/>
      <sheetName val="Resumen_129"/>
      <sheetName val="9_158"/>
      <sheetName val="9_229"/>
      <sheetName val="9_329"/>
      <sheetName val="9_429"/>
      <sheetName val="9_529"/>
      <sheetName val="9_629"/>
      <sheetName val="9_729"/>
      <sheetName val="9_829"/>
      <sheetName val="9_929"/>
      <sheetName val="9_1029"/>
      <sheetName val="9_1130"/>
      <sheetName val="9_1229"/>
      <sheetName val="9_1329"/>
      <sheetName val="1_129"/>
      <sheetName val="1_229"/>
      <sheetName val="1_329"/>
      <sheetName val="2_129"/>
      <sheetName val="2_229"/>
      <sheetName val="2_329"/>
      <sheetName val="3_129"/>
      <sheetName val="3_229"/>
      <sheetName val="3_329"/>
      <sheetName val="4_129"/>
      <sheetName val="4_229"/>
      <sheetName val="4_329"/>
      <sheetName val="5_129"/>
      <sheetName val="5_229"/>
      <sheetName val="5_329"/>
      <sheetName val="6_029"/>
      <sheetName val="6_129"/>
      <sheetName val="6_229"/>
      <sheetName val="6_329"/>
      <sheetName val="7_129"/>
      <sheetName val="7_229"/>
      <sheetName val="7_329"/>
      <sheetName val="8_129"/>
      <sheetName val="8_229"/>
      <sheetName val="Piso_2-529"/>
      <sheetName val="Liebman_13417"/>
      <sheetName val="PROYECTOS_2015_16"/>
      <sheetName val="Metrado_011"/>
      <sheetName val="Metrado_021"/>
      <sheetName val="P_U_16"/>
      <sheetName val="G_G_ESTRUC_16"/>
      <sheetName val="RESUMEN_CLIENTE16"/>
      <sheetName val="ANÁLISIS_GG16"/>
      <sheetName val="pu_Estructuras16"/>
      <sheetName val="Formato_de_Pedido16"/>
      <sheetName val="Condiciones_Generales_de_Vent16"/>
      <sheetName val="Codigo_de_Diseño16"/>
      <sheetName val="Columnas_de__Cerco16"/>
      <sheetName val="Losa_postensado_h=_0_2016"/>
      <sheetName val="Base_de_Equipos16"/>
      <sheetName val="LOSA_DE_PISO_E=_016"/>
      <sheetName val="Columnas_16"/>
      <sheetName val="Muros_de_Cerco16"/>
      <sheetName val="Muros_de_Contencion16"/>
      <sheetName val="Muros_Pantalla_16"/>
      <sheetName val="Cimiento_Corrido16"/>
      <sheetName val="V_C_16"/>
      <sheetName val="Vigas_y_Cortes16"/>
      <sheetName val="Cimentacion_Armada16"/>
      <sheetName val="VIGAS_DE_AMARRE_Y_DINTELES16"/>
      <sheetName val="Relleno_Rampa16"/>
      <sheetName val="Viguetas_Firth16"/>
      <sheetName val="B__equipos16"/>
      <sheetName val="Hoja_de_Recursos16"/>
      <sheetName val="Provisionales_16"/>
      <sheetName val="wagerate_by_craft16"/>
      <sheetName val="PPTO_16"/>
      <sheetName val="A_P_U16"/>
      <sheetName val="Pump_Calcs16"/>
      <sheetName val="Sol_Val4"/>
      <sheetName val="Res_Val4"/>
      <sheetName val="OBRAS_PROV__Y_PRELIM_4"/>
      <sheetName val="EST_ESCALERAS4"/>
      <sheetName val="PC-19053_RP_PURUCHUCO4"/>
      <sheetName val="RESUMEN_METRADOS_(2)1"/>
      <sheetName val="L_MACIZAS1"/>
      <sheetName val="PLACAS_MP1"/>
      <sheetName val="PLACAS_EDIF1"/>
      <sheetName val="O_CIVIL1"/>
      <sheetName val="IIMM_LIQ1"/>
      <sheetName val="PLANILA_OC1"/>
      <sheetName val="INST_COM1"/>
      <sheetName val="RESUMEN_AJUSTADO1"/>
      <sheetName val="PRECIOS_1"/>
      <sheetName val="SIN_IGV_GR_(2)"/>
      <sheetName val="DISTR_MANT_ELECTRICA"/>
      <sheetName val="Programa_Producción"/>
      <sheetName val="BASE_DE_DATOS"/>
      <sheetName val="ANALISIS_ALQUILER_FERREYROS"/>
      <sheetName val="Encofrado_BVR_Unispan43"/>
      <sheetName val="Equipo_de_apuntalemiento43"/>
      <sheetName val="Gastos_Generales_BVR43"/>
      <sheetName val="BVR_con_Efco43"/>
      <sheetName val="TIPO_CAMBIO42"/>
      <sheetName val="Tiraje_Mix42"/>
      <sheetName val="MAT_42"/>
      <sheetName val="CONDUCT_32"/>
      <sheetName val="conductores_volquetes32"/>
      <sheetName val="PLANILLAS_FORMATEADAS32"/>
      <sheetName val="CONTEO_DE_DATOS32"/>
      <sheetName val="RESUMEN_DE_PARTIDAS32"/>
      <sheetName val="Piso_2-532"/>
      <sheetName val="9_1A32"/>
      <sheetName val="9_2A32"/>
      <sheetName val="9_3A32"/>
      <sheetName val="9_4A32"/>
      <sheetName val="9_5A32"/>
      <sheetName val="9_6A32"/>
      <sheetName val="9_7A32"/>
      <sheetName val="9_8A32"/>
      <sheetName val="9_9A32"/>
      <sheetName val="9_10A32"/>
      <sheetName val="9_11A32"/>
      <sheetName val="9_12A32"/>
      <sheetName val="1_1A32"/>
      <sheetName val="1_2A32"/>
      <sheetName val="1_3A32"/>
      <sheetName val="1_4A32"/>
      <sheetName val="2_1A32"/>
      <sheetName val="2_2A32"/>
      <sheetName val="2_3A32"/>
      <sheetName val="3_1A32"/>
      <sheetName val="3_2A32"/>
      <sheetName val="3_3A32"/>
      <sheetName val="4_1A32"/>
      <sheetName val="4_2A32"/>
      <sheetName val="4_3A32"/>
      <sheetName val="5_1A32"/>
      <sheetName val="5_2A32"/>
      <sheetName val="5_3A32"/>
      <sheetName val="6_1A32"/>
      <sheetName val="6_2A32"/>
      <sheetName val="6_3A32"/>
      <sheetName val="7_1A32"/>
      <sheetName val="7_2A32"/>
      <sheetName val="7_3A32"/>
      <sheetName val="8_1A32"/>
      <sheetName val="8_2A32"/>
      <sheetName val="Resumen_232"/>
      <sheetName val="Resumen_132"/>
      <sheetName val="9_161"/>
      <sheetName val="9_232"/>
      <sheetName val="9_332"/>
      <sheetName val="9_432"/>
      <sheetName val="9_532"/>
      <sheetName val="9_632"/>
      <sheetName val="9_732"/>
      <sheetName val="9_832"/>
      <sheetName val="9_932"/>
      <sheetName val="9_1032"/>
      <sheetName val="9_1133"/>
      <sheetName val="9_1232"/>
      <sheetName val="9_1332"/>
      <sheetName val="1_132"/>
      <sheetName val="1_232"/>
      <sheetName val="1_332"/>
      <sheetName val="2_132"/>
      <sheetName val="2_232"/>
      <sheetName val="2_332"/>
      <sheetName val="3_132"/>
      <sheetName val="3_232"/>
      <sheetName val="3_332"/>
      <sheetName val="4_132"/>
      <sheetName val="4_232"/>
      <sheetName val="4_332"/>
      <sheetName val="5_132"/>
      <sheetName val="5_232"/>
      <sheetName val="5_332"/>
      <sheetName val="6_032"/>
      <sheetName val="6_132"/>
      <sheetName val="6_232"/>
      <sheetName val="6_332"/>
      <sheetName val="7_132"/>
      <sheetName val="7_232"/>
      <sheetName val="7_332"/>
      <sheetName val="8_132"/>
      <sheetName val="8_232"/>
      <sheetName val="Liebman_13420"/>
      <sheetName val="PROYECTOS_2015_19"/>
      <sheetName val="P_U_19"/>
      <sheetName val="G_G_ESTRUC_19"/>
      <sheetName val="RESUMEN_CLIENTE19"/>
      <sheetName val="Formato_de_Pedido19"/>
      <sheetName val="Condiciones_Generales_de_Vent19"/>
      <sheetName val="Codigo_de_Diseño19"/>
      <sheetName val="Hoja_de_Recursos19"/>
      <sheetName val="Provisionales_19"/>
      <sheetName val="wagerate_by_craft19"/>
      <sheetName val="PPTO_19"/>
      <sheetName val="A_P_U19"/>
      <sheetName val="pu_Estructuras19"/>
      <sheetName val="ANÁLISIS_GG19"/>
      <sheetName val="Columnas_de__Cerco19"/>
      <sheetName val="Losa_postensado_h=_0_2019"/>
      <sheetName val="Base_de_Equipos19"/>
      <sheetName val="LOSA_DE_PISO_E=_019"/>
      <sheetName val="Columnas_19"/>
      <sheetName val="Muros_de_Cerco19"/>
      <sheetName val="Muros_de_Contencion19"/>
      <sheetName val="Muros_Pantalla_19"/>
      <sheetName val="Cimiento_Corrido19"/>
      <sheetName val="V_C_19"/>
      <sheetName val="Vigas_y_Cortes19"/>
      <sheetName val="Cimentacion_Armada19"/>
      <sheetName val="VIGAS_DE_AMARRE_Y_DINTELES19"/>
      <sheetName val="Relleno_Rampa19"/>
      <sheetName val="Viguetas_Firth19"/>
      <sheetName val="B__equipos19"/>
      <sheetName val="Pump_Calcs19"/>
      <sheetName val="RESUMEN_METRADOS_(2)4"/>
      <sheetName val="L_MACIZAS4"/>
      <sheetName val="PLACAS_MP4"/>
      <sheetName val="PLACAS_EDIF4"/>
      <sheetName val="Sol_Val7"/>
      <sheetName val="Res_Val7"/>
      <sheetName val="OBRAS_PROV__Y_PRELIM_7"/>
      <sheetName val="EST_ESCALERAS7"/>
      <sheetName val="PC-19053_RP_PURUCHUCO7"/>
      <sheetName val="Metrado_014"/>
      <sheetName val="Metrado_024"/>
      <sheetName val="O_CIVIL4"/>
      <sheetName val="IIMM_LIQ4"/>
      <sheetName val="PLANILA_OC4"/>
      <sheetName val="INST_COM4"/>
      <sheetName val="RESUMEN_AJUSTADO4"/>
      <sheetName val="PRECIOS_4"/>
      <sheetName val="ANALISIS_ALQUILER_FERREYROS3"/>
      <sheetName val="Encofrado_BVR_Unispan42"/>
      <sheetName val="Equipo_de_apuntalemiento42"/>
      <sheetName val="Gastos_Generales_BVR42"/>
      <sheetName val="BVR_con_Efco42"/>
      <sheetName val="TIPO_CAMBIO41"/>
      <sheetName val="Tiraje_Mix41"/>
      <sheetName val="MAT_41"/>
      <sheetName val="CONDUCT_31"/>
      <sheetName val="conductores_volquetes31"/>
      <sheetName val="PLANILLAS_FORMATEADAS31"/>
      <sheetName val="CONTEO_DE_DATOS31"/>
      <sheetName val="RESUMEN_DE_PARTIDAS31"/>
      <sheetName val="Piso_2-531"/>
      <sheetName val="9_1A31"/>
      <sheetName val="9_2A31"/>
      <sheetName val="9_3A31"/>
      <sheetName val="9_4A31"/>
      <sheetName val="9_5A31"/>
      <sheetName val="9_6A31"/>
      <sheetName val="9_7A31"/>
      <sheetName val="9_8A31"/>
      <sheetName val="9_9A31"/>
      <sheetName val="9_10A31"/>
      <sheetName val="9_11A31"/>
      <sheetName val="9_12A31"/>
      <sheetName val="1_1A31"/>
      <sheetName val="1_2A31"/>
      <sheetName val="1_3A31"/>
      <sheetName val="1_4A31"/>
      <sheetName val="2_1A31"/>
      <sheetName val="2_2A31"/>
      <sheetName val="2_3A31"/>
      <sheetName val="3_1A31"/>
      <sheetName val="3_2A31"/>
      <sheetName val="3_3A31"/>
      <sheetName val="4_1A31"/>
      <sheetName val="4_2A31"/>
      <sheetName val="4_3A31"/>
      <sheetName val="5_1A31"/>
      <sheetName val="5_2A31"/>
      <sheetName val="5_3A31"/>
      <sheetName val="6_1A31"/>
      <sheetName val="6_2A31"/>
      <sheetName val="6_3A31"/>
      <sheetName val="7_1A31"/>
      <sheetName val="7_2A31"/>
      <sheetName val="7_3A31"/>
      <sheetName val="8_1A31"/>
      <sheetName val="8_2A31"/>
      <sheetName val="Resumen_231"/>
      <sheetName val="Resumen_131"/>
      <sheetName val="9_160"/>
      <sheetName val="9_231"/>
      <sheetName val="9_331"/>
      <sheetName val="9_431"/>
      <sheetName val="9_531"/>
      <sheetName val="9_631"/>
      <sheetName val="9_731"/>
      <sheetName val="9_831"/>
      <sheetName val="9_931"/>
      <sheetName val="9_1031"/>
      <sheetName val="9_1132"/>
      <sheetName val="9_1231"/>
      <sheetName val="9_1331"/>
      <sheetName val="1_131"/>
      <sheetName val="1_231"/>
      <sheetName val="1_331"/>
      <sheetName val="2_131"/>
      <sheetName val="2_231"/>
      <sheetName val="2_331"/>
      <sheetName val="3_131"/>
      <sheetName val="3_231"/>
      <sheetName val="3_331"/>
      <sheetName val="4_131"/>
      <sheetName val="4_231"/>
      <sheetName val="4_331"/>
      <sheetName val="5_131"/>
      <sheetName val="5_231"/>
      <sheetName val="5_331"/>
      <sheetName val="6_031"/>
      <sheetName val="6_131"/>
      <sheetName val="6_231"/>
      <sheetName val="6_331"/>
      <sheetName val="7_131"/>
      <sheetName val="7_231"/>
      <sheetName val="7_331"/>
      <sheetName val="8_131"/>
      <sheetName val="8_231"/>
      <sheetName val="Liebman_13419"/>
      <sheetName val="PROYECTOS_2015_18"/>
      <sheetName val="P_U_18"/>
      <sheetName val="G_G_ESTRUC_18"/>
      <sheetName val="RESUMEN_CLIENTE18"/>
      <sheetName val="Formato_de_Pedido18"/>
      <sheetName val="Condiciones_Generales_de_Vent18"/>
      <sheetName val="Codigo_de_Diseño18"/>
      <sheetName val="Hoja_de_Recursos18"/>
      <sheetName val="Provisionales_18"/>
      <sheetName val="wagerate_by_craft18"/>
      <sheetName val="PPTO_18"/>
      <sheetName val="A_P_U18"/>
      <sheetName val="pu_Estructuras18"/>
      <sheetName val="ANÁLISIS_GG18"/>
      <sheetName val="Columnas_de__Cerco18"/>
      <sheetName val="Losa_postensado_h=_0_2018"/>
      <sheetName val="Base_de_Equipos18"/>
      <sheetName val="LOSA_DE_PISO_E=_018"/>
      <sheetName val="Columnas_18"/>
      <sheetName val="Muros_de_Cerco18"/>
      <sheetName val="Muros_de_Contencion18"/>
      <sheetName val="Muros_Pantalla_18"/>
      <sheetName val="Cimiento_Corrido18"/>
      <sheetName val="V_C_18"/>
      <sheetName val="Vigas_y_Cortes18"/>
      <sheetName val="Cimentacion_Armada18"/>
      <sheetName val="VIGAS_DE_AMARRE_Y_DINTELES18"/>
      <sheetName val="Relleno_Rampa18"/>
      <sheetName val="Viguetas_Firth18"/>
      <sheetName val="B__equipos18"/>
      <sheetName val="Pump_Calcs18"/>
      <sheetName val="Sol_Val6"/>
      <sheetName val="Res_Val6"/>
      <sheetName val="OBRAS_PROV__Y_PRELIM_6"/>
      <sheetName val="EST_ESCALERAS6"/>
      <sheetName val="PC-19053_RP_PURUCHUCO6"/>
      <sheetName val="Metrado_013"/>
      <sheetName val="Metrado_023"/>
      <sheetName val="RESUMEN_METRADOS_(2)3"/>
      <sheetName val="L_MACIZAS3"/>
      <sheetName val="PLACAS_MP3"/>
      <sheetName val="PLACAS_EDIF3"/>
      <sheetName val="O_CIVIL3"/>
      <sheetName val="IIMM_LIQ3"/>
      <sheetName val="PLANILA_OC3"/>
      <sheetName val="INST_COM3"/>
      <sheetName val="RESUMEN_AJUSTADO3"/>
      <sheetName val="PRECIOS_3"/>
      <sheetName val="ANALISIS_ALQUILER_FERREYROS2"/>
      <sheetName val="Encofrado_BVR_Unispan41"/>
      <sheetName val="Equipo_de_apuntalemiento41"/>
      <sheetName val="Gastos_Generales_BVR41"/>
      <sheetName val="BVR_con_Efco41"/>
      <sheetName val="TIPO_CAMBIO40"/>
      <sheetName val="Tiraje_Mix40"/>
      <sheetName val="MAT_40"/>
      <sheetName val="CONDUCT_30"/>
      <sheetName val="conductores_volquetes30"/>
      <sheetName val="PLANILLAS_FORMATEADAS30"/>
      <sheetName val="CONTEO_DE_DATOS30"/>
      <sheetName val="RESUMEN_DE_PARTIDAS30"/>
      <sheetName val="Piso_2-530"/>
      <sheetName val="9_1A30"/>
      <sheetName val="9_2A30"/>
      <sheetName val="9_3A30"/>
      <sheetName val="9_4A30"/>
      <sheetName val="9_5A30"/>
      <sheetName val="9_6A30"/>
      <sheetName val="9_7A30"/>
      <sheetName val="9_8A30"/>
      <sheetName val="9_9A30"/>
      <sheetName val="9_10A30"/>
      <sheetName val="9_11A30"/>
      <sheetName val="9_12A30"/>
      <sheetName val="1_1A30"/>
      <sheetName val="1_2A30"/>
      <sheetName val="1_3A30"/>
      <sheetName val="1_4A30"/>
      <sheetName val="2_1A30"/>
      <sheetName val="2_2A30"/>
      <sheetName val="2_3A30"/>
      <sheetName val="3_1A30"/>
      <sheetName val="3_2A30"/>
      <sheetName val="3_3A30"/>
      <sheetName val="4_1A30"/>
      <sheetName val="4_2A30"/>
      <sheetName val="4_3A30"/>
      <sheetName val="5_1A30"/>
      <sheetName val="5_2A30"/>
      <sheetName val="5_3A30"/>
      <sheetName val="6_1A30"/>
      <sheetName val="6_2A30"/>
      <sheetName val="6_3A30"/>
      <sheetName val="7_1A30"/>
      <sheetName val="7_2A30"/>
      <sheetName val="7_3A30"/>
      <sheetName val="8_1A30"/>
      <sheetName val="8_2A30"/>
      <sheetName val="Resumen_230"/>
      <sheetName val="Resumen_130"/>
      <sheetName val="9_159"/>
      <sheetName val="9_230"/>
      <sheetName val="9_330"/>
      <sheetName val="9_430"/>
      <sheetName val="9_530"/>
      <sheetName val="9_630"/>
      <sheetName val="9_730"/>
      <sheetName val="9_830"/>
      <sheetName val="9_930"/>
      <sheetName val="9_1030"/>
      <sheetName val="9_1131"/>
      <sheetName val="9_1230"/>
      <sheetName val="9_1330"/>
      <sheetName val="1_130"/>
      <sheetName val="1_230"/>
      <sheetName val="1_330"/>
      <sheetName val="2_130"/>
      <sheetName val="2_230"/>
      <sheetName val="2_330"/>
      <sheetName val="3_130"/>
      <sheetName val="3_230"/>
      <sheetName val="3_330"/>
      <sheetName val="4_130"/>
      <sheetName val="4_230"/>
      <sheetName val="4_330"/>
      <sheetName val="5_130"/>
      <sheetName val="5_230"/>
      <sheetName val="5_330"/>
      <sheetName val="6_030"/>
      <sheetName val="6_130"/>
      <sheetName val="6_230"/>
      <sheetName val="6_330"/>
      <sheetName val="7_130"/>
      <sheetName val="7_230"/>
      <sheetName val="7_330"/>
      <sheetName val="8_130"/>
      <sheetName val="8_230"/>
      <sheetName val="Liebman_13418"/>
      <sheetName val="PROYECTOS_2015_17"/>
      <sheetName val="P_U_17"/>
      <sheetName val="G_G_ESTRUC_17"/>
      <sheetName val="RESUMEN_CLIENTE17"/>
      <sheetName val="Formato_de_Pedido17"/>
      <sheetName val="Condiciones_Generales_de_Vent17"/>
      <sheetName val="Codigo_de_Diseño17"/>
      <sheetName val="Hoja_de_Recursos17"/>
      <sheetName val="Provisionales_17"/>
      <sheetName val="wagerate_by_craft17"/>
      <sheetName val="PPTO_17"/>
      <sheetName val="A_P_U17"/>
      <sheetName val="pu_Estructuras17"/>
      <sheetName val="ANÁLISIS_GG17"/>
      <sheetName val="Columnas_de__Cerco17"/>
      <sheetName val="Losa_postensado_h=_0_2017"/>
      <sheetName val="Base_de_Equipos17"/>
      <sheetName val="LOSA_DE_PISO_E=_017"/>
      <sheetName val="Columnas_17"/>
      <sheetName val="Muros_de_Cerco17"/>
      <sheetName val="Muros_de_Contencion17"/>
      <sheetName val="Muros_Pantalla_17"/>
      <sheetName val="Cimiento_Corrido17"/>
      <sheetName val="V_C_17"/>
      <sheetName val="Vigas_y_Cortes17"/>
      <sheetName val="Cimentacion_Armada17"/>
      <sheetName val="VIGAS_DE_AMARRE_Y_DINTELES17"/>
      <sheetName val="Relleno_Rampa17"/>
      <sheetName val="Viguetas_Firth17"/>
      <sheetName val="B__equipos17"/>
      <sheetName val="Pump_Calcs17"/>
      <sheetName val="Sol_Val5"/>
      <sheetName val="Res_Val5"/>
      <sheetName val="OBRAS_PROV__Y_PRELIM_5"/>
      <sheetName val="EST_ESCALERAS5"/>
      <sheetName val="PC-19053_RP_PURUCHUCO5"/>
      <sheetName val="Metrado_012"/>
      <sheetName val="Metrado_022"/>
      <sheetName val="RESUMEN_METRADOS_(2)2"/>
      <sheetName val="L_MACIZAS2"/>
      <sheetName val="PLACAS_MP2"/>
      <sheetName val="PLACAS_EDIF2"/>
      <sheetName val="O_CIVIL2"/>
      <sheetName val="IIMM_LIQ2"/>
      <sheetName val="PLANILA_OC2"/>
      <sheetName val="INST_COM2"/>
      <sheetName val="RESUMEN_AJUSTADO2"/>
      <sheetName val="PRECIOS_2"/>
      <sheetName val="ANALISIS_ALQUILER_FERREYROS1"/>
      <sheetName val="Parametros"/>
      <sheetName val="Costos"/>
      <sheetName val="9__x0000__x0000_"/>
      <sheetName val="SIN_IGV_GR_(2)1"/>
      <sheetName val="DISTR_MANT_ELECTRICA1"/>
      <sheetName val="Programa_Producción1"/>
      <sheetName val="BASE_DE_DATOS1"/>
      <sheetName val="Encofrado_BVR_Unispan44"/>
      <sheetName val="Equipo_de_apuntalemiento44"/>
      <sheetName val="Gastos_Generales_BVR44"/>
      <sheetName val="BVR_con_Efco44"/>
      <sheetName val="Tiraje_Mix43"/>
      <sheetName val="TIPO_CAMBIO43"/>
      <sheetName val="MAT_43"/>
      <sheetName val="CONDUCT_33"/>
      <sheetName val="PLANILLAS_FORMATEADAS33"/>
      <sheetName val="CONTEO_DE_DATOS33"/>
      <sheetName val="RESUMEN_DE_PARTIDAS33"/>
      <sheetName val="conductores_volquetes33"/>
      <sheetName val="9_1A33"/>
      <sheetName val="9_2A33"/>
      <sheetName val="9_3A33"/>
      <sheetName val="9_4A33"/>
      <sheetName val="9_5A33"/>
      <sheetName val="9_6A33"/>
      <sheetName val="9_7A33"/>
      <sheetName val="9_8A33"/>
      <sheetName val="9_9A33"/>
      <sheetName val="9_10A33"/>
      <sheetName val="9_11A33"/>
      <sheetName val="9_12A33"/>
      <sheetName val="1_1A33"/>
      <sheetName val="1_2A33"/>
      <sheetName val="1_3A33"/>
      <sheetName val="1_4A33"/>
      <sheetName val="2_1A33"/>
      <sheetName val="2_2A33"/>
      <sheetName val="2_3A33"/>
      <sheetName val="3_1A33"/>
      <sheetName val="3_2A33"/>
      <sheetName val="3_3A33"/>
      <sheetName val="4_1A33"/>
      <sheetName val="4_2A33"/>
      <sheetName val="4_3A33"/>
      <sheetName val="5_1A33"/>
      <sheetName val="5_2A33"/>
      <sheetName val="5_3A33"/>
      <sheetName val="6_1A33"/>
      <sheetName val="6_2A33"/>
      <sheetName val="6_3A33"/>
      <sheetName val="7_1A33"/>
      <sheetName val="7_2A33"/>
      <sheetName val="7_3A33"/>
      <sheetName val="8_1A33"/>
      <sheetName val="8_2A33"/>
      <sheetName val="Resumen_233"/>
      <sheetName val="Resumen_133"/>
      <sheetName val="9_162"/>
      <sheetName val="9_233"/>
      <sheetName val="9_333"/>
      <sheetName val="9_433"/>
      <sheetName val="9_533"/>
      <sheetName val="9_633"/>
      <sheetName val="9_733"/>
      <sheetName val="9_833"/>
      <sheetName val="9_933"/>
      <sheetName val="9_1033"/>
      <sheetName val="9_1134"/>
      <sheetName val="9_1233"/>
      <sheetName val="9_1333"/>
      <sheetName val="1_133"/>
      <sheetName val="1_233"/>
      <sheetName val="1_333"/>
      <sheetName val="2_133"/>
      <sheetName val="2_233"/>
      <sheetName val="2_333"/>
      <sheetName val="3_133"/>
      <sheetName val="3_233"/>
      <sheetName val="3_333"/>
      <sheetName val="4_133"/>
      <sheetName val="4_233"/>
      <sheetName val="4_333"/>
      <sheetName val="5_133"/>
      <sheetName val="5_233"/>
      <sheetName val="5_333"/>
      <sheetName val="6_033"/>
      <sheetName val="6_133"/>
      <sheetName val="6_233"/>
      <sheetName val="6_333"/>
      <sheetName val="7_133"/>
      <sheetName val="7_233"/>
      <sheetName val="7_333"/>
      <sheetName val="8_133"/>
      <sheetName val="8_233"/>
      <sheetName val="Piso_2-533"/>
      <sheetName val="Liebman_13421"/>
      <sheetName val="PROYECTOS_2015_20"/>
      <sheetName val="P_U_20"/>
      <sheetName val="G_G_ESTRUC_20"/>
      <sheetName val="RESUMEN_CLIENTE20"/>
      <sheetName val="Formato_de_Pedido20"/>
      <sheetName val="Condiciones_Generales_de_Vent20"/>
      <sheetName val="Codigo_de_Diseño20"/>
      <sheetName val="Hoja_de_Recursos20"/>
      <sheetName val="Provisionales_20"/>
      <sheetName val="wagerate_by_craft20"/>
      <sheetName val="PPTO_20"/>
      <sheetName val="A_P_U20"/>
      <sheetName val="pu_Estructuras20"/>
      <sheetName val="ANÁLISIS_GG20"/>
      <sheetName val="Columnas_de__Cerco20"/>
      <sheetName val="Losa_postensado_h=_0_2020"/>
      <sheetName val="Base_de_Equipos20"/>
      <sheetName val="LOSA_DE_PISO_E=_020"/>
      <sheetName val="Columnas_20"/>
      <sheetName val="Muros_de_Cerco20"/>
      <sheetName val="Muros_de_Contencion20"/>
      <sheetName val="Muros_Pantalla_20"/>
      <sheetName val="Cimiento_Corrido20"/>
      <sheetName val="V_C_20"/>
      <sheetName val="Vigas_y_Cortes20"/>
      <sheetName val="Cimentacion_Armada20"/>
      <sheetName val="VIGAS_DE_AMARRE_Y_DINTELES20"/>
      <sheetName val="Relleno_Rampa20"/>
      <sheetName val="Viguetas_Firth20"/>
      <sheetName val="B__equipos20"/>
      <sheetName val="Pump_Calcs20"/>
      <sheetName val="Sol_Val8"/>
      <sheetName val="Res_Val8"/>
      <sheetName val="OBRAS_PROV__Y_PRELIM_8"/>
      <sheetName val="EST_ESCALERAS8"/>
      <sheetName val="PC-19053_RP_PURUCHUCO8"/>
      <sheetName val="Metrado_015"/>
      <sheetName val="Metrado_025"/>
      <sheetName val="RESUMEN_METRADOS_(2)5"/>
      <sheetName val="L_MACIZAS5"/>
      <sheetName val="PLACAS_MP5"/>
      <sheetName val="PLACAS_EDIF5"/>
      <sheetName val="O_CIVIL5"/>
      <sheetName val="IIMM_LIQ5"/>
      <sheetName val="PLANILA_OC5"/>
      <sheetName val="INST_COM5"/>
      <sheetName val="RESUMEN_AJUSTADO5"/>
      <sheetName val="PRECIOS_5"/>
      <sheetName val="Encofrado_BVR_Unispan45"/>
      <sheetName val="Equipo_de_apuntalemiento45"/>
      <sheetName val="Gastos_Generales_BVR45"/>
      <sheetName val="BVR_con_Efco45"/>
      <sheetName val="Tiraje_Mix44"/>
      <sheetName val="TIPO_CAMBIO44"/>
      <sheetName val="MAT_44"/>
      <sheetName val="CONDUCT_34"/>
      <sheetName val="PLANILLAS_FORMATEADAS34"/>
      <sheetName val="CONTEO_DE_DATOS34"/>
      <sheetName val="RESUMEN_DE_PARTIDAS34"/>
      <sheetName val="conductores_volquetes34"/>
      <sheetName val="9_1A34"/>
      <sheetName val="9_2A34"/>
      <sheetName val="9_3A34"/>
      <sheetName val="9_4A34"/>
      <sheetName val="9_5A34"/>
      <sheetName val="9_6A34"/>
      <sheetName val="9_7A34"/>
      <sheetName val="9_8A34"/>
      <sheetName val="9_9A34"/>
      <sheetName val="9_10A34"/>
      <sheetName val="9_11A34"/>
      <sheetName val="9_12A34"/>
      <sheetName val="1_1A34"/>
      <sheetName val="1_2A34"/>
      <sheetName val="1_3A34"/>
      <sheetName val="1_4A34"/>
      <sheetName val="2_1A34"/>
      <sheetName val="2_2A34"/>
      <sheetName val="2_3A34"/>
      <sheetName val="3_1A34"/>
      <sheetName val="3_2A34"/>
      <sheetName val="3_3A34"/>
      <sheetName val="4_1A34"/>
      <sheetName val="4_2A34"/>
      <sheetName val="4_3A34"/>
      <sheetName val="5_1A34"/>
      <sheetName val="5_2A34"/>
      <sheetName val="5_3A34"/>
      <sheetName val="6_1A34"/>
      <sheetName val="6_2A34"/>
      <sheetName val="6_3A34"/>
      <sheetName val="7_1A34"/>
      <sheetName val="7_2A34"/>
      <sheetName val="7_3A34"/>
      <sheetName val="8_1A34"/>
      <sheetName val="8_2A34"/>
      <sheetName val="Resumen_234"/>
      <sheetName val="Resumen_134"/>
      <sheetName val="9_163"/>
      <sheetName val="9_234"/>
      <sheetName val="9_334"/>
      <sheetName val="9_434"/>
      <sheetName val="9_534"/>
      <sheetName val="9_634"/>
      <sheetName val="9_734"/>
      <sheetName val="9_834"/>
      <sheetName val="9_934"/>
      <sheetName val="9_1034"/>
      <sheetName val="9_1135"/>
      <sheetName val="9_1234"/>
      <sheetName val="9_1334"/>
      <sheetName val="1_134"/>
      <sheetName val="1_234"/>
      <sheetName val="1_334"/>
      <sheetName val="2_134"/>
      <sheetName val="2_234"/>
      <sheetName val="2_334"/>
      <sheetName val="3_134"/>
      <sheetName val="3_234"/>
      <sheetName val="3_334"/>
      <sheetName val="4_134"/>
      <sheetName val="4_234"/>
      <sheetName val="4_334"/>
      <sheetName val="5_134"/>
      <sheetName val="5_234"/>
      <sheetName val="5_334"/>
      <sheetName val="6_034"/>
      <sheetName val="6_134"/>
      <sheetName val="6_234"/>
      <sheetName val="6_334"/>
      <sheetName val="7_134"/>
      <sheetName val="7_234"/>
      <sheetName val="7_334"/>
      <sheetName val="8_134"/>
      <sheetName val="8_234"/>
      <sheetName val="Piso_2-534"/>
      <sheetName val="Liebman_13422"/>
      <sheetName val="PROYECTOS_2015_21"/>
      <sheetName val="P_U_21"/>
      <sheetName val="G_G_ESTRUC_21"/>
      <sheetName val="RESUMEN_CLIENTE21"/>
      <sheetName val="Formato_de_Pedido21"/>
      <sheetName val="Condiciones_Generales_de_Vent21"/>
      <sheetName val="Codigo_de_Diseño21"/>
      <sheetName val="Hoja_de_Recursos21"/>
      <sheetName val="Provisionales_21"/>
      <sheetName val="wagerate_by_craft21"/>
      <sheetName val="PPTO_21"/>
      <sheetName val="A_P_U21"/>
      <sheetName val="pu_Estructuras21"/>
      <sheetName val="ANÁLISIS_GG21"/>
      <sheetName val="Columnas_de__Cerco21"/>
      <sheetName val="Losa_postensado_h=_0_2021"/>
      <sheetName val="Base_de_Equipos21"/>
      <sheetName val="LOSA_DE_PISO_E=_021"/>
      <sheetName val="Columnas_21"/>
      <sheetName val="Muros_de_Cerco21"/>
      <sheetName val="Muros_de_Contencion21"/>
      <sheetName val="Muros_Pantalla_21"/>
      <sheetName val="Cimiento_Corrido21"/>
      <sheetName val="V_C_21"/>
      <sheetName val="Vigas_y_Cortes21"/>
      <sheetName val="Cimentacion_Armada21"/>
      <sheetName val="VIGAS_DE_AMARRE_Y_DINTELES21"/>
      <sheetName val="Relleno_Rampa21"/>
      <sheetName val="Viguetas_Firth21"/>
      <sheetName val="B__equipos21"/>
      <sheetName val="Pump_Calcs21"/>
      <sheetName val="Metrado_016"/>
      <sheetName val="Metrado_026"/>
      <sheetName val="Sol_Val9"/>
      <sheetName val="Res_Val9"/>
      <sheetName val="OBRAS_PROV__Y_PRELIM_9"/>
      <sheetName val="EST_ESCALERAS9"/>
      <sheetName val="PC-19053_RP_PURUCHUCO9"/>
      <sheetName val="O_CIVIL6"/>
      <sheetName val="IIMM_LIQ6"/>
      <sheetName val="PLANILA_OC6"/>
      <sheetName val="RESUMEN_METRADOS_(2)6"/>
      <sheetName val="L_MACIZAS6"/>
      <sheetName val="PLACAS_MP6"/>
      <sheetName val="PLACAS_EDIF6"/>
      <sheetName val="INST_COM6"/>
      <sheetName val="RESUMEN_AJUSTADO6"/>
      <sheetName val="PRECIOS_6"/>
      <sheetName val="INST_COM7"/>
      <sheetName val="RESUMEN_AJUSTADO7"/>
      <sheetName val="Encofrado_BVR_Unispan46"/>
      <sheetName val="Equipo_de_apuntalemiento46"/>
      <sheetName val="Gastos_Generales_BVR46"/>
      <sheetName val="BVR_con_Efco46"/>
      <sheetName val="TIPO_CAMBIO45"/>
      <sheetName val="Tiraje_Mix45"/>
      <sheetName val="MAT_45"/>
      <sheetName val="CONDUCT_35"/>
      <sheetName val="conductores_volquetes35"/>
      <sheetName val="Piso_2-535"/>
      <sheetName val="PLANILLAS_FORMATEADAS35"/>
      <sheetName val="CONTEO_DE_DATOS35"/>
      <sheetName val="RESUMEN_DE_PARTIDAS35"/>
      <sheetName val="9_1A35"/>
      <sheetName val="9_2A35"/>
      <sheetName val="9_3A35"/>
      <sheetName val="9_4A35"/>
      <sheetName val="9_5A35"/>
      <sheetName val="9_6A35"/>
      <sheetName val="9_7A35"/>
      <sheetName val="9_8A35"/>
      <sheetName val="9_9A35"/>
      <sheetName val="9_10A35"/>
      <sheetName val="9_11A35"/>
      <sheetName val="9_12A35"/>
      <sheetName val="1_1A35"/>
      <sheetName val="1_2A35"/>
      <sheetName val="1_3A35"/>
      <sheetName val="1_4A35"/>
      <sheetName val="2_1A35"/>
      <sheetName val="2_2A35"/>
      <sheetName val="2_3A35"/>
      <sheetName val="3_1A35"/>
      <sheetName val="3_2A35"/>
      <sheetName val="3_3A35"/>
      <sheetName val="4_1A35"/>
      <sheetName val="4_2A35"/>
      <sheetName val="4_3A35"/>
      <sheetName val="5_1A35"/>
      <sheetName val="5_2A35"/>
      <sheetName val="5_3A35"/>
      <sheetName val="6_1A35"/>
      <sheetName val="6_2A35"/>
      <sheetName val="6_3A35"/>
      <sheetName val="7_1A35"/>
      <sheetName val="7_2A35"/>
      <sheetName val="7_3A35"/>
      <sheetName val="8_1A35"/>
      <sheetName val="8_2A35"/>
      <sheetName val="Resumen_235"/>
      <sheetName val="Resumen_135"/>
      <sheetName val="9_164"/>
      <sheetName val="9_235"/>
      <sheetName val="9_335"/>
      <sheetName val="9_435"/>
      <sheetName val="9_535"/>
      <sheetName val="9_635"/>
      <sheetName val="9_735"/>
      <sheetName val="9_835"/>
      <sheetName val="9_935"/>
      <sheetName val="9_1035"/>
      <sheetName val="9_1136"/>
      <sheetName val="9_1235"/>
      <sheetName val="9_1335"/>
      <sheetName val="1_135"/>
      <sheetName val="1_235"/>
      <sheetName val="1_335"/>
      <sheetName val="2_135"/>
      <sheetName val="2_235"/>
      <sheetName val="2_335"/>
      <sheetName val="3_135"/>
      <sheetName val="3_235"/>
      <sheetName val="3_335"/>
      <sheetName val="4_135"/>
      <sheetName val="4_235"/>
      <sheetName val="4_335"/>
      <sheetName val="5_135"/>
      <sheetName val="5_235"/>
      <sheetName val="5_335"/>
      <sheetName val="6_035"/>
      <sheetName val="6_135"/>
      <sheetName val="6_235"/>
      <sheetName val="6_335"/>
      <sheetName val="7_135"/>
      <sheetName val="7_235"/>
      <sheetName val="7_335"/>
      <sheetName val="8_135"/>
      <sheetName val="8_235"/>
      <sheetName val="Liebman_13423"/>
      <sheetName val="PROYECTOS_2015_22"/>
      <sheetName val="PPTO_22"/>
      <sheetName val="A_P_U22"/>
      <sheetName val="P_U_22"/>
      <sheetName val="G_G_ESTRUC_22"/>
      <sheetName val="RESUMEN_CLIENTE22"/>
      <sheetName val="ANÁLISIS_GG22"/>
      <sheetName val="pu_Estructuras22"/>
      <sheetName val="Formato_de_Pedido22"/>
      <sheetName val="Condiciones_Generales_de_Vent22"/>
      <sheetName val="Codigo_de_Diseño22"/>
      <sheetName val="Hoja_de_Recursos22"/>
      <sheetName val="Provisionales_22"/>
      <sheetName val="wagerate_by_craft22"/>
      <sheetName val="Pump_Calcs22"/>
      <sheetName val="Columnas_de__Cerco22"/>
      <sheetName val="Losa_postensado_h=_0_2022"/>
      <sheetName val="Base_de_Equipos22"/>
      <sheetName val="LOSA_DE_PISO_E=_022"/>
      <sheetName val="Columnas_22"/>
      <sheetName val="Muros_de_Cerco22"/>
      <sheetName val="Muros_de_Contencion22"/>
      <sheetName val="Muros_Pantalla_22"/>
      <sheetName val="Cimiento_Corrido22"/>
      <sheetName val="V_C_22"/>
      <sheetName val="Vigas_y_Cortes22"/>
      <sheetName val="Cimentacion_Armada22"/>
      <sheetName val="VIGAS_DE_AMARRE_Y_DINTELES22"/>
      <sheetName val="Relleno_Rampa22"/>
      <sheetName val="Viguetas_Firth22"/>
      <sheetName val="B__equipos22"/>
      <sheetName val="Sol_Val10"/>
      <sheetName val="Res_Val10"/>
      <sheetName val="OBRAS_PROV__Y_PRELIM_10"/>
      <sheetName val="EST_ESCALERAS10"/>
      <sheetName val="PC-19053_RP_PURUCHUCO10"/>
      <sheetName val="Metrado_017"/>
      <sheetName val="Metrado_027"/>
      <sheetName val="RESUMEN_METRADOS_(2)7"/>
      <sheetName val="L_MACIZAS7"/>
      <sheetName val="PLACAS_MP7"/>
      <sheetName val="PLACAS_EDIF7"/>
      <sheetName val="O_CIVIL7"/>
      <sheetName val="IIMM_LIQ7"/>
      <sheetName val="PLANILA_OC7"/>
      <sheetName val="INST_COM8"/>
      <sheetName val="RESUMEN_AJUSTADO8"/>
      <sheetName val="PRECIOS_7"/>
      <sheetName val="Encofrado_BVR_Unispan47"/>
      <sheetName val="Equipo_de_apuntalemiento47"/>
      <sheetName val="Gastos_Generales_BVR47"/>
      <sheetName val="BVR_con_Efco47"/>
      <sheetName val="TIPO_CAMBIO46"/>
      <sheetName val="Tiraje_Mix46"/>
      <sheetName val="MAT_46"/>
      <sheetName val="CONDUCT_36"/>
      <sheetName val="conductores_volquetes36"/>
      <sheetName val="Piso_2-536"/>
      <sheetName val="PLANILLAS_FORMATEADAS36"/>
      <sheetName val="CONTEO_DE_DATOS36"/>
      <sheetName val="RESUMEN_DE_PARTIDAS36"/>
      <sheetName val="9_1A36"/>
      <sheetName val="9_2A36"/>
      <sheetName val="9_3A36"/>
      <sheetName val="9_4A36"/>
      <sheetName val="9_5A36"/>
      <sheetName val="9_6A36"/>
      <sheetName val="9_7A36"/>
      <sheetName val="9_8A36"/>
      <sheetName val="9_9A36"/>
      <sheetName val="9_10A36"/>
      <sheetName val="9_11A36"/>
      <sheetName val="9_12A36"/>
      <sheetName val="1_1A36"/>
      <sheetName val="1_2A36"/>
      <sheetName val="1_3A36"/>
      <sheetName val="1_4A36"/>
      <sheetName val="2_1A36"/>
      <sheetName val="2_2A36"/>
      <sheetName val="2_3A36"/>
      <sheetName val="3_1A36"/>
      <sheetName val="3_2A36"/>
      <sheetName val="3_3A36"/>
      <sheetName val="4_1A36"/>
      <sheetName val="4_2A36"/>
      <sheetName val="4_3A36"/>
      <sheetName val="5_1A36"/>
      <sheetName val="5_2A36"/>
      <sheetName val="5_3A36"/>
      <sheetName val="6_1A36"/>
      <sheetName val="6_2A36"/>
      <sheetName val="6_3A36"/>
      <sheetName val="7_1A36"/>
      <sheetName val="7_2A36"/>
      <sheetName val="7_3A36"/>
      <sheetName val="8_1A36"/>
      <sheetName val="8_2A36"/>
      <sheetName val="Resumen_236"/>
      <sheetName val="Resumen_136"/>
      <sheetName val="9_165"/>
      <sheetName val="9_236"/>
      <sheetName val="9_336"/>
      <sheetName val="9_436"/>
      <sheetName val="9_536"/>
      <sheetName val="9_636"/>
      <sheetName val="9_736"/>
      <sheetName val="9_836"/>
      <sheetName val="9_936"/>
      <sheetName val="9_1036"/>
      <sheetName val="9_1137"/>
      <sheetName val="9_1236"/>
      <sheetName val="9_1336"/>
      <sheetName val="1_136"/>
      <sheetName val="1_236"/>
      <sheetName val="1_336"/>
      <sheetName val="2_136"/>
      <sheetName val="2_236"/>
      <sheetName val="2_336"/>
      <sheetName val="3_136"/>
      <sheetName val="3_236"/>
      <sheetName val="3_336"/>
      <sheetName val="4_136"/>
      <sheetName val="4_236"/>
      <sheetName val="4_336"/>
      <sheetName val="5_136"/>
      <sheetName val="5_236"/>
      <sheetName val="5_336"/>
      <sheetName val="6_036"/>
      <sheetName val="6_136"/>
      <sheetName val="6_236"/>
      <sheetName val="6_336"/>
      <sheetName val="7_136"/>
      <sheetName val="7_236"/>
      <sheetName val="7_336"/>
      <sheetName val="8_136"/>
      <sheetName val="8_236"/>
      <sheetName val="Liebman_13424"/>
      <sheetName val="PROYECTOS_2015_23"/>
      <sheetName val="PPTO_23"/>
      <sheetName val="A_P_U23"/>
      <sheetName val="P_U_23"/>
      <sheetName val="G_G_ESTRUC_23"/>
      <sheetName val="RESUMEN_CLIENTE23"/>
      <sheetName val="ANÁLISIS_GG23"/>
      <sheetName val="pu_Estructuras23"/>
      <sheetName val="Formato_de_Pedido23"/>
      <sheetName val="Condiciones_Generales_de_Vent23"/>
      <sheetName val="Codigo_de_Diseño23"/>
      <sheetName val="Hoja_de_Recursos23"/>
      <sheetName val="Provisionales_23"/>
      <sheetName val="wagerate_by_craft23"/>
      <sheetName val="Pump_Calcs23"/>
      <sheetName val="Columnas_de__Cerco23"/>
      <sheetName val="Losa_postensado_h=_0_2023"/>
      <sheetName val="Base_de_Equipos23"/>
      <sheetName val="LOSA_DE_PISO_E=_023"/>
      <sheetName val="Columnas_23"/>
      <sheetName val="Muros_de_Cerco23"/>
      <sheetName val="Muros_de_Contencion23"/>
      <sheetName val="Muros_Pantalla_23"/>
      <sheetName val="Cimiento_Corrido23"/>
      <sheetName val="V_C_23"/>
      <sheetName val="Vigas_y_Cortes23"/>
      <sheetName val="Cimentacion_Armada23"/>
      <sheetName val="VIGAS_DE_AMARRE_Y_DINTELES23"/>
      <sheetName val="Relleno_Rampa23"/>
      <sheetName val="Viguetas_Firth23"/>
      <sheetName val="B__equipos23"/>
      <sheetName val="Sol_Val11"/>
      <sheetName val="Res_Val11"/>
      <sheetName val="OBRAS_PROV__Y_PRELIM_11"/>
      <sheetName val="EST_ESCALERAS11"/>
      <sheetName val="PC-19053_RP_PURUCHUCO11"/>
      <sheetName val="Metrado_018"/>
      <sheetName val="Metrado_028"/>
      <sheetName val="RESUMEN_METRADOS_(2)8"/>
      <sheetName val="L_MACIZAS8"/>
      <sheetName val="PLACAS_MP8"/>
      <sheetName val="PLACAS_EDIF8"/>
      <sheetName val="O_CIVIL8"/>
      <sheetName val="IIMM_LIQ8"/>
      <sheetName val="PLANILA_OC8"/>
      <sheetName val="INST_COM9"/>
      <sheetName val="RESUMEN_AJUSTADO9"/>
      <sheetName val="PRECIOS_8"/>
      <sheetName val="Encofrado_BVR_Unispan48"/>
      <sheetName val="Equipo_de_apuntalemiento48"/>
      <sheetName val="Gastos_Generales_BVR48"/>
      <sheetName val="BVR_con_Efco48"/>
      <sheetName val="TIPO_CAMBIO47"/>
      <sheetName val="Tiraje_Mix47"/>
      <sheetName val="MAT_47"/>
      <sheetName val="CONDUCT_37"/>
      <sheetName val="conductores_volquetes37"/>
      <sheetName val="Piso_2-537"/>
      <sheetName val="PLANILLAS_FORMATEADAS37"/>
      <sheetName val="CONTEO_DE_DATOS37"/>
      <sheetName val="RESUMEN_DE_PARTIDAS37"/>
      <sheetName val="9_1A37"/>
      <sheetName val="9_2A37"/>
      <sheetName val="9_3A37"/>
      <sheetName val="9_4A37"/>
      <sheetName val="9_5A37"/>
      <sheetName val="9_6A37"/>
      <sheetName val="9_7A37"/>
      <sheetName val="9_8A37"/>
      <sheetName val="9_9A37"/>
      <sheetName val="9_10A37"/>
      <sheetName val="9_11A37"/>
      <sheetName val="9_12A37"/>
      <sheetName val="1_1A37"/>
      <sheetName val="1_2A37"/>
      <sheetName val="1_3A37"/>
      <sheetName val="1_4A37"/>
      <sheetName val="2_1A37"/>
      <sheetName val="2_2A37"/>
      <sheetName val="2_3A37"/>
      <sheetName val="3_1A37"/>
      <sheetName val="3_2A37"/>
      <sheetName val="3_3A37"/>
      <sheetName val="4_1A37"/>
      <sheetName val="4_2A37"/>
      <sheetName val="4_3A37"/>
      <sheetName val="5_1A37"/>
      <sheetName val="5_2A37"/>
      <sheetName val="5_3A37"/>
      <sheetName val="6_1A37"/>
      <sheetName val="6_2A37"/>
      <sheetName val="6_3A37"/>
      <sheetName val="7_1A37"/>
      <sheetName val="7_2A37"/>
      <sheetName val="7_3A37"/>
      <sheetName val="8_1A37"/>
      <sheetName val="8_2A37"/>
      <sheetName val="Resumen_237"/>
      <sheetName val="Resumen_137"/>
      <sheetName val="9_166"/>
      <sheetName val="9_237"/>
      <sheetName val="9_337"/>
      <sheetName val="9_437"/>
      <sheetName val="9_537"/>
      <sheetName val="9_637"/>
      <sheetName val="9_737"/>
      <sheetName val="9_837"/>
      <sheetName val="9_937"/>
      <sheetName val="9_1037"/>
      <sheetName val="9_1138"/>
      <sheetName val="9_1237"/>
      <sheetName val="9_1337"/>
      <sheetName val="1_137"/>
      <sheetName val="1_237"/>
      <sheetName val="1_337"/>
      <sheetName val="2_137"/>
      <sheetName val="2_237"/>
      <sheetName val="2_337"/>
      <sheetName val="3_137"/>
      <sheetName val="3_237"/>
      <sheetName val="3_337"/>
      <sheetName val="4_137"/>
      <sheetName val="4_237"/>
      <sheetName val="4_337"/>
      <sheetName val="5_137"/>
      <sheetName val="5_237"/>
      <sheetName val="5_337"/>
      <sheetName val="6_037"/>
      <sheetName val="6_137"/>
      <sheetName val="6_237"/>
      <sheetName val="6_337"/>
      <sheetName val="7_137"/>
      <sheetName val="7_237"/>
      <sheetName val="7_337"/>
      <sheetName val="8_137"/>
      <sheetName val="8_237"/>
      <sheetName val="Liebman_13425"/>
      <sheetName val="PROYECTOS_2015_24"/>
      <sheetName val="PPTO_24"/>
      <sheetName val="A_P_U24"/>
      <sheetName val="P_U_24"/>
      <sheetName val="G_G_ESTRUC_24"/>
      <sheetName val="RESUMEN_CLIENTE24"/>
      <sheetName val="ANÁLISIS_GG24"/>
      <sheetName val="pu_Estructuras24"/>
      <sheetName val="Formato_de_Pedido24"/>
      <sheetName val="Condiciones_Generales_de_Vent24"/>
      <sheetName val="Codigo_de_Diseño24"/>
      <sheetName val="Hoja_de_Recursos24"/>
      <sheetName val="Provisionales_24"/>
      <sheetName val="wagerate_by_craft24"/>
      <sheetName val="Pump_Calcs24"/>
      <sheetName val="Columnas_de__Cerco24"/>
      <sheetName val="Losa_postensado_h=_0_2024"/>
      <sheetName val="Base_de_Equipos24"/>
      <sheetName val="LOSA_DE_PISO_E=_024"/>
      <sheetName val="Columnas_24"/>
      <sheetName val="Muros_de_Cerco24"/>
      <sheetName val="Muros_de_Contencion24"/>
      <sheetName val="Muros_Pantalla_24"/>
      <sheetName val="Cimiento_Corrido24"/>
      <sheetName val="V_C_24"/>
      <sheetName val="Vigas_y_Cortes24"/>
      <sheetName val="Cimentacion_Armada24"/>
      <sheetName val="VIGAS_DE_AMARRE_Y_DINTELES24"/>
      <sheetName val="Relleno_Rampa24"/>
      <sheetName val="Viguetas_Firth24"/>
      <sheetName val="B__equipos24"/>
      <sheetName val="Sol_Val12"/>
      <sheetName val="Res_Val12"/>
      <sheetName val="OBRAS_PROV__Y_PRELIM_12"/>
      <sheetName val="EST_ESCALERAS12"/>
      <sheetName val="PC-19053_RP_PURUCHUCO12"/>
      <sheetName val="Metrado_019"/>
      <sheetName val="Metrado_029"/>
      <sheetName val="RESUMEN_METRADOS_(2)9"/>
      <sheetName val="L_MACIZAS9"/>
      <sheetName val="PLACAS_MP9"/>
      <sheetName val="PLACAS_EDIF9"/>
      <sheetName val="O_CIVIL9"/>
      <sheetName val="IIMM_LIQ9"/>
      <sheetName val="PLANILA_OC9"/>
      <sheetName val="INST_COM10"/>
      <sheetName val="RESUMEN_AJUSTADO10"/>
      <sheetName val="PRECIOS_9"/>
      <sheetName val="Encofrado_BVR_Unispan49"/>
      <sheetName val="Equipo_de_apuntalemiento49"/>
      <sheetName val="Gastos_Generales_BVR49"/>
      <sheetName val="BVR_con_Efco49"/>
      <sheetName val="TIPO_CAMBIO48"/>
      <sheetName val="Tiraje_Mix48"/>
      <sheetName val="MAT_48"/>
      <sheetName val="CONDUCT_38"/>
      <sheetName val="conductores_volquetes38"/>
      <sheetName val="Piso_2-538"/>
      <sheetName val="PLANILLAS_FORMATEADAS38"/>
      <sheetName val="CONTEO_DE_DATOS38"/>
      <sheetName val="RESUMEN_DE_PARTIDAS38"/>
      <sheetName val="9_1A38"/>
      <sheetName val="9_2A38"/>
      <sheetName val="9_3A38"/>
      <sheetName val="9_4A38"/>
      <sheetName val="9_5A38"/>
      <sheetName val="9_6A38"/>
      <sheetName val="9_7A38"/>
      <sheetName val="9_8A38"/>
      <sheetName val="9_9A38"/>
      <sheetName val="9_10A38"/>
      <sheetName val="9_11A38"/>
      <sheetName val="9_12A38"/>
      <sheetName val="1_1A38"/>
      <sheetName val="1_2A38"/>
      <sheetName val="1_3A38"/>
      <sheetName val="1_4A38"/>
      <sheetName val="2_1A38"/>
      <sheetName val="2_2A38"/>
      <sheetName val="2_3A38"/>
      <sheetName val="3_1A38"/>
      <sheetName val="3_2A38"/>
      <sheetName val="3_3A38"/>
      <sheetName val="4_1A38"/>
      <sheetName val="4_2A38"/>
      <sheetName val="4_3A38"/>
      <sheetName val="5_1A38"/>
      <sheetName val="5_2A38"/>
      <sheetName val="5_3A38"/>
      <sheetName val="6_1A38"/>
      <sheetName val="6_2A38"/>
      <sheetName val="6_3A38"/>
      <sheetName val="7_1A38"/>
      <sheetName val="7_2A38"/>
      <sheetName val="7_3A38"/>
      <sheetName val="8_1A38"/>
      <sheetName val="8_2A38"/>
      <sheetName val="Resumen_238"/>
      <sheetName val="Resumen_138"/>
      <sheetName val="9_167"/>
      <sheetName val="9_238"/>
      <sheetName val="9_338"/>
      <sheetName val="9_438"/>
      <sheetName val="9_538"/>
      <sheetName val="9_638"/>
      <sheetName val="9_738"/>
      <sheetName val="9_838"/>
      <sheetName val="9_938"/>
      <sheetName val="9_1038"/>
      <sheetName val="9_1139"/>
      <sheetName val="9_1238"/>
      <sheetName val="9_1338"/>
      <sheetName val="1_138"/>
      <sheetName val="1_238"/>
      <sheetName val="1_338"/>
      <sheetName val="2_138"/>
      <sheetName val="2_238"/>
      <sheetName val="2_338"/>
      <sheetName val="3_138"/>
      <sheetName val="3_238"/>
      <sheetName val="3_338"/>
      <sheetName val="4_138"/>
      <sheetName val="4_238"/>
      <sheetName val="4_338"/>
      <sheetName val="5_138"/>
      <sheetName val="5_238"/>
      <sheetName val="5_338"/>
      <sheetName val="6_038"/>
      <sheetName val="6_138"/>
      <sheetName val="6_238"/>
      <sheetName val="6_338"/>
      <sheetName val="7_138"/>
      <sheetName val="7_238"/>
      <sheetName val="7_338"/>
      <sheetName val="8_138"/>
      <sheetName val="8_238"/>
      <sheetName val="Liebman_13426"/>
      <sheetName val="PROYECTOS_2015_25"/>
      <sheetName val="PPTO_25"/>
      <sheetName val="A_P_U25"/>
      <sheetName val="P_U_25"/>
      <sheetName val="G_G_ESTRUC_25"/>
      <sheetName val="RESUMEN_CLIENTE25"/>
      <sheetName val="ANÁLISIS_GG25"/>
      <sheetName val="pu_Estructuras25"/>
      <sheetName val="Formato_de_Pedido25"/>
      <sheetName val="Condiciones_Generales_de_Vent25"/>
      <sheetName val="Codigo_de_Diseño25"/>
      <sheetName val="Hoja_de_Recursos25"/>
      <sheetName val="Provisionales_25"/>
      <sheetName val="wagerate_by_craft25"/>
      <sheetName val="Pump_Calcs25"/>
      <sheetName val="Columnas_de__Cerco25"/>
      <sheetName val="Losa_postensado_h=_0_2025"/>
      <sheetName val="Base_de_Equipos25"/>
      <sheetName val="LOSA_DE_PISO_E=_025"/>
      <sheetName val="Columnas_25"/>
      <sheetName val="Muros_de_Cerco25"/>
      <sheetName val="Muros_de_Contencion25"/>
      <sheetName val="Muros_Pantalla_25"/>
      <sheetName val="Cimiento_Corrido25"/>
      <sheetName val="V_C_25"/>
      <sheetName val="Vigas_y_Cortes25"/>
      <sheetName val="Cimentacion_Armada25"/>
      <sheetName val="VIGAS_DE_AMARRE_Y_DINTELES25"/>
      <sheetName val="Relleno_Rampa25"/>
      <sheetName val="Viguetas_Firth25"/>
      <sheetName val="B__equipos25"/>
      <sheetName val="Sol_Val13"/>
      <sheetName val="Res_Val13"/>
      <sheetName val="OBRAS_PROV__Y_PRELIM_13"/>
      <sheetName val="EST_ESCALERAS13"/>
      <sheetName val="PC-19053_RP_PURUCHUCO13"/>
      <sheetName val="Metrado_0110"/>
      <sheetName val="Metrado_0210"/>
      <sheetName val="RESUMEN_METRADOS_(2)10"/>
      <sheetName val="L_MACIZAS10"/>
      <sheetName val="PLACAS_MP10"/>
      <sheetName val="PLACAS_EDIF10"/>
      <sheetName val="O_CIVIL10"/>
      <sheetName val="IIMM_LIQ10"/>
      <sheetName val="PLANILA_OC10"/>
      <sheetName val="INST_COM11"/>
      <sheetName val="RESUMEN_AJUSTADO11"/>
      <sheetName val="PRECIOS_10"/>
      <sheetName val="Encofrado_BVR_Unispan50"/>
      <sheetName val="Equipo_de_apuntalemiento50"/>
      <sheetName val="Gastos_Generales_BVR50"/>
      <sheetName val="BVR_con_Efco50"/>
      <sheetName val="TIPO_CAMBIO49"/>
      <sheetName val="Tiraje_Mix49"/>
      <sheetName val="MAT_49"/>
      <sheetName val="CONDUCT_39"/>
      <sheetName val="conductores_volquetes39"/>
      <sheetName val="Piso_2-539"/>
      <sheetName val="PLANILLAS_FORMATEADAS39"/>
      <sheetName val="CONTEO_DE_DATOS39"/>
      <sheetName val="RESUMEN_DE_PARTIDAS39"/>
      <sheetName val="9_1A39"/>
      <sheetName val="9_2A39"/>
      <sheetName val="9_3A39"/>
      <sheetName val="9_4A39"/>
      <sheetName val="9_5A39"/>
      <sheetName val="9_6A39"/>
      <sheetName val="9_7A39"/>
      <sheetName val="9_8A39"/>
      <sheetName val="9_9A39"/>
      <sheetName val="9_10A39"/>
      <sheetName val="9_11A39"/>
      <sheetName val="9_12A39"/>
      <sheetName val="1_1A39"/>
      <sheetName val="1_2A39"/>
      <sheetName val="1_3A39"/>
      <sheetName val="1_4A39"/>
      <sheetName val="2_1A39"/>
      <sheetName val="2_2A39"/>
      <sheetName val="2_3A39"/>
      <sheetName val="3_1A39"/>
      <sheetName val="3_2A39"/>
      <sheetName val="3_3A39"/>
      <sheetName val="4_1A39"/>
      <sheetName val="4_2A39"/>
      <sheetName val="4_3A39"/>
      <sheetName val="5_1A39"/>
      <sheetName val="5_2A39"/>
      <sheetName val="5_3A39"/>
      <sheetName val="6_1A39"/>
      <sheetName val="6_2A39"/>
      <sheetName val="6_3A39"/>
      <sheetName val="7_1A39"/>
      <sheetName val="7_2A39"/>
      <sheetName val="7_3A39"/>
      <sheetName val="8_1A39"/>
      <sheetName val="8_2A39"/>
      <sheetName val="Resumen_239"/>
      <sheetName val="Resumen_139"/>
      <sheetName val="9_168"/>
      <sheetName val="9_239"/>
      <sheetName val="9_339"/>
      <sheetName val="9_439"/>
      <sheetName val="9_539"/>
      <sheetName val="9_639"/>
      <sheetName val="9_739"/>
      <sheetName val="9_839"/>
      <sheetName val="9_939"/>
      <sheetName val="9_1039"/>
      <sheetName val="9_1140"/>
      <sheetName val="9_1239"/>
      <sheetName val="9_1339"/>
      <sheetName val="1_139"/>
      <sheetName val="1_239"/>
      <sheetName val="1_339"/>
      <sheetName val="2_139"/>
      <sheetName val="2_239"/>
      <sheetName val="2_339"/>
      <sheetName val="3_139"/>
      <sheetName val="3_239"/>
      <sheetName val="3_339"/>
      <sheetName val="4_139"/>
      <sheetName val="4_239"/>
      <sheetName val="4_339"/>
      <sheetName val="5_139"/>
      <sheetName val="5_239"/>
      <sheetName val="5_339"/>
      <sheetName val="6_039"/>
      <sheetName val="6_139"/>
      <sheetName val="6_239"/>
      <sheetName val="6_339"/>
      <sheetName val="7_139"/>
      <sheetName val="7_239"/>
      <sheetName val="7_339"/>
      <sheetName val="8_139"/>
      <sheetName val="8_239"/>
      <sheetName val="Liebman_13427"/>
      <sheetName val="PROYECTOS_2015_26"/>
      <sheetName val="PPTO_26"/>
      <sheetName val="A_P_U26"/>
      <sheetName val="P_U_26"/>
      <sheetName val="G_G_ESTRUC_26"/>
      <sheetName val="RESUMEN_CLIENTE26"/>
      <sheetName val="ANÁLISIS_GG26"/>
      <sheetName val="pu_Estructuras26"/>
      <sheetName val="Formato_de_Pedido26"/>
      <sheetName val="Condiciones_Generales_de_Vent26"/>
      <sheetName val="Codigo_de_Diseño26"/>
      <sheetName val="Hoja_de_Recursos26"/>
      <sheetName val="Provisionales_26"/>
      <sheetName val="wagerate_by_craft26"/>
      <sheetName val="Pump_Calcs26"/>
      <sheetName val="Columnas_de__Cerco26"/>
      <sheetName val="Losa_postensado_h=_0_2026"/>
      <sheetName val="Base_de_Equipos26"/>
      <sheetName val="LOSA_DE_PISO_E=_026"/>
      <sheetName val="Columnas_26"/>
      <sheetName val="Muros_de_Cerco26"/>
      <sheetName val="Muros_de_Contencion26"/>
      <sheetName val="Muros_Pantalla_26"/>
      <sheetName val="Cimiento_Corrido26"/>
      <sheetName val="V_C_26"/>
      <sheetName val="Vigas_y_Cortes26"/>
      <sheetName val="Cimentacion_Armada26"/>
      <sheetName val="VIGAS_DE_AMARRE_Y_DINTELES26"/>
      <sheetName val="Relleno_Rampa26"/>
      <sheetName val="Viguetas_Firth26"/>
      <sheetName val="B__equipos26"/>
      <sheetName val="Sol_Val14"/>
      <sheetName val="Res_Val14"/>
      <sheetName val="OBRAS_PROV__Y_PRELIM_14"/>
      <sheetName val="EST_ESCALERAS14"/>
      <sheetName val="PC-19053_RP_PURUCHUCO14"/>
      <sheetName val="Metrado_0111"/>
      <sheetName val="Metrado_0211"/>
      <sheetName val="RESUMEN_METRADOS_(2)11"/>
      <sheetName val="L_MACIZAS11"/>
      <sheetName val="PLACAS_MP11"/>
      <sheetName val="PLACAS_EDIF11"/>
      <sheetName val="O_CIVIL11"/>
      <sheetName val="IIMM_LIQ11"/>
      <sheetName val="PLANILA_OC11"/>
      <sheetName val="INST_COM12"/>
      <sheetName val="RESUMEN_AJUSTADO12"/>
      <sheetName val="PRECIOS_11"/>
      <sheetName val="SIN_IGV_GR_(2)2"/>
      <sheetName val="Encofrado_BVR_Unispan51"/>
      <sheetName val="Equipo_de_apuntalemiento51"/>
      <sheetName val="Gastos_Generales_BVR51"/>
      <sheetName val="BVR_con_Efco51"/>
      <sheetName val="TIPO_CAMBIO50"/>
      <sheetName val="Tiraje_Mix50"/>
      <sheetName val="MAT_50"/>
      <sheetName val="CONDUCT_40"/>
      <sheetName val="conductores_volquetes40"/>
      <sheetName val="PLANILLAS_FORMATEADAS40"/>
      <sheetName val="CONTEO_DE_DATOS40"/>
      <sheetName val="RESUMEN_DE_PARTIDAS40"/>
      <sheetName val="Piso_2-540"/>
      <sheetName val="9_1A40"/>
      <sheetName val="9_2A40"/>
      <sheetName val="9_3A40"/>
      <sheetName val="9_4A40"/>
      <sheetName val="9_5A40"/>
      <sheetName val="9_6A40"/>
      <sheetName val="9_7A40"/>
      <sheetName val="9_8A40"/>
      <sheetName val="9_9A40"/>
      <sheetName val="9_10A40"/>
      <sheetName val="9_11A40"/>
      <sheetName val="9_12A40"/>
      <sheetName val="1_1A40"/>
      <sheetName val="1_2A40"/>
      <sheetName val="1_3A40"/>
      <sheetName val="1_4A40"/>
      <sheetName val="2_1A40"/>
      <sheetName val="2_2A40"/>
      <sheetName val="2_3A40"/>
      <sheetName val="3_1A40"/>
      <sheetName val="3_2A40"/>
      <sheetName val="3_3A40"/>
      <sheetName val="4_1A40"/>
      <sheetName val="4_2A40"/>
      <sheetName val="4_3A40"/>
      <sheetName val="5_1A40"/>
      <sheetName val="5_2A40"/>
      <sheetName val="5_3A40"/>
      <sheetName val="6_1A40"/>
      <sheetName val="6_2A40"/>
      <sheetName val="6_3A40"/>
      <sheetName val="7_1A40"/>
      <sheetName val="7_2A40"/>
      <sheetName val="7_3A40"/>
      <sheetName val="8_1A40"/>
      <sheetName val="8_2A40"/>
      <sheetName val="Resumen_240"/>
      <sheetName val="Resumen_140"/>
      <sheetName val="9_169"/>
      <sheetName val="9_240"/>
      <sheetName val="9_340"/>
      <sheetName val="9_440"/>
      <sheetName val="9_540"/>
      <sheetName val="9_640"/>
      <sheetName val="9_740"/>
      <sheetName val="9_840"/>
      <sheetName val="9_940"/>
      <sheetName val="9_1040"/>
      <sheetName val="9_1141"/>
      <sheetName val="9_1240"/>
      <sheetName val="9_1340"/>
      <sheetName val="1_140"/>
      <sheetName val="1_240"/>
      <sheetName val="1_340"/>
      <sheetName val="2_140"/>
      <sheetName val="2_240"/>
      <sheetName val="2_340"/>
      <sheetName val="3_140"/>
      <sheetName val="3_240"/>
      <sheetName val="3_340"/>
      <sheetName val="4_140"/>
      <sheetName val="4_240"/>
      <sheetName val="4_340"/>
      <sheetName val="5_140"/>
      <sheetName val="5_240"/>
      <sheetName val="5_340"/>
      <sheetName val="6_040"/>
      <sheetName val="6_140"/>
      <sheetName val="6_240"/>
      <sheetName val="6_340"/>
      <sheetName val="7_140"/>
      <sheetName val="7_240"/>
      <sheetName val="7_340"/>
      <sheetName val="8_140"/>
      <sheetName val="8_240"/>
      <sheetName val="Liebman_13428"/>
      <sheetName val="PROYECTOS_2015_27"/>
      <sheetName val="P_U_27"/>
      <sheetName val="G_G_ESTRUC_27"/>
      <sheetName val="RESUMEN_CLIENTE27"/>
      <sheetName val="pu_Estructuras27"/>
      <sheetName val="ANÁLISIS_GG27"/>
      <sheetName val="Formato_de_Pedido27"/>
      <sheetName val="Condiciones_Generales_de_Vent27"/>
      <sheetName val="Codigo_de_Diseño27"/>
      <sheetName val="Hoja_de_Recursos27"/>
      <sheetName val="Provisionales_27"/>
      <sheetName val="wagerate_by_craft27"/>
      <sheetName val="PPTO_27"/>
      <sheetName val="A_P_U27"/>
      <sheetName val="Columnas_de__Cerco27"/>
      <sheetName val="Losa_postensado_h=_0_2027"/>
      <sheetName val="Base_de_Equipos27"/>
      <sheetName val="LOSA_DE_PISO_E=_027"/>
      <sheetName val="Columnas_27"/>
      <sheetName val="Muros_de_Cerco27"/>
      <sheetName val="Muros_de_Contencion27"/>
      <sheetName val="Muros_Pantalla_27"/>
      <sheetName val="Cimiento_Corrido27"/>
      <sheetName val="V_C_27"/>
      <sheetName val="Vigas_y_Cortes27"/>
      <sheetName val="Cimentacion_Armada27"/>
      <sheetName val="VIGAS_DE_AMARRE_Y_DINTELES27"/>
      <sheetName val="Relleno_Rampa27"/>
      <sheetName val="Viguetas_Firth27"/>
      <sheetName val="B__equipos27"/>
      <sheetName val="Pump_Calcs27"/>
      <sheetName val="Sol_Val15"/>
      <sheetName val="Res_Val15"/>
      <sheetName val="OBRAS_PROV__Y_PRELIM_15"/>
      <sheetName val="EST_ESCALERAS15"/>
      <sheetName val="PC-19053_RP_PURUCHUCO15"/>
      <sheetName val="Metrado_0112"/>
      <sheetName val="Metrado_0212"/>
      <sheetName val="RESUMEN_METRADOS_(2)12"/>
      <sheetName val="L_MACIZAS12"/>
      <sheetName val="PLACAS_MP12"/>
      <sheetName val="PLACAS_EDIF12"/>
      <sheetName val="O_CIVIL12"/>
      <sheetName val="IIMM_LIQ12"/>
      <sheetName val="PLANILA_OC12"/>
      <sheetName val="INST_COM13"/>
      <sheetName val="RESUMEN_AJUSTADO13"/>
      <sheetName val="PRECIOS_12"/>
      <sheetName val="SIN_IGV_GR_(2)3"/>
      <sheetName val="Encofrado_BVR_Unispan52"/>
      <sheetName val="Equipo_de_apuntalemiento52"/>
      <sheetName val="Gastos_Generales_BVR52"/>
      <sheetName val="BVR_con_Efco52"/>
      <sheetName val="TIPO_CAMBIO51"/>
      <sheetName val="Tiraje_Mix51"/>
      <sheetName val="MAT_51"/>
      <sheetName val="CONDUCT_41"/>
      <sheetName val="conductores_volquetes41"/>
      <sheetName val="PLANILLAS_FORMATEADAS41"/>
      <sheetName val="CONTEO_DE_DATOS41"/>
      <sheetName val="RESUMEN_DE_PARTIDAS41"/>
      <sheetName val="Piso_2-541"/>
      <sheetName val="9_1A41"/>
      <sheetName val="9_2A41"/>
      <sheetName val="9_3A41"/>
      <sheetName val="9_4A41"/>
      <sheetName val="9_5A41"/>
      <sheetName val="9_6A41"/>
      <sheetName val="9_7A41"/>
      <sheetName val="9_8A41"/>
      <sheetName val="9_9A41"/>
      <sheetName val="9_10A41"/>
      <sheetName val="9_11A41"/>
      <sheetName val="9_12A41"/>
      <sheetName val="1_1A41"/>
      <sheetName val="1_2A41"/>
      <sheetName val="1_3A41"/>
      <sheetName val="1_4A41"/>
      <sheetName val="2_1A41"/>
      <sheetName val="2_2A41"/>
      <sheetName val="2_3A41"/>
      <sheetName val="3_1A41"/>
      <sheetName val="3_2A41"/>
      <sheetName val="3_3A41"/>
      <sheetName val="4_1A41"/>
      <sheetName val="4_2A41"/>
      <sheetName val="4_3A41"/>
      <sheetName val="5_1A41"/>
      <sheetName val="5_2A41"/>
      <sheetName val="5_3A41"/>
      <sheetName val="6_1A41"/>
      <sheetName val="6_2A41"/>
      <sheetName val="6_3A41"/>
      <sheetName val="7_1A41"/>
      <sheetName val="7_2A41"/>
      <sheetName val="7_3A41"/>
      <sheetName val="8_1A41"/>
      <sheetName val="8_2A41"/>
      <sheetName val="Resumen_241"/>
      <sheetName val="Resumen_141"/>
      <sheetName val="9_170"/>
      <sheetName val="9_241"/>
      <sheetName val="9_341"/>
      <sheetName val="9_441"/>
      <sheetName val="9_541"/>
      <sheetName val="9_641"/>
      <sheetName val="9_741"/>
      <sheetName val="9_841"/>
      <sheetName val="9_941"/>
      <sheetName val="9_1041"/>
      <sheetName val="9_1142"/>
      <sheetName val="9_1241"/>
      <sheetName val="9_1341"/>
      <sheetName val="1_141"/>
      <sheetName val="1_241"/>
      <sheetName val="1_341"/>
      <sheetName val="2_141"/>
      <sheetName val="2_241"/>
      <sheetName val="2_341"/>
      <sheetName val="3_141"/>
      <sheetName val="3_241"/>
      <sheetName val="3_341"/>
      <sheetName val="4_141"/>
      <sheetName val="4_241"/>
      <sheetName val="4_341"/>
      <sheetName val="5_141"/>
      <sheetName val="5_241"/>
      <sheetName val="5_341"/>
      <sheetName val="6_041"/>
      <sheetName val="6_141"/>
      <sheetName val="6_241"/>
      <sheetName val="6_341"/>
      <sheetName val="7_141"/>
      <sheetName val="7_241"/>
      <sheetName val="7_341"/>
      <sheetName val="8_141"/>
      <sheetName val="8_241"/>
      <sheetName val="Liebman_13429"/>
      <sheetName val="PROYECTOS_2015_28"/>
      <sheetName val="P_U_28"/>
      <sheetName val="G_G_ESTRUC_28"/>
      <sheetName val="RESUMEN_CLIENTE28"/>
      <sheetName val="pu_Estructuras28"/>
      <sheetName val="ANÁLISIS_GG28"/>
      <sheetName val="Formato_de_Pedido28"/>
      <sheetName val="Condiciones_Generales_de_Vent28"/>
      <sheetName val="Codigo_de_Diseño28"/>
      <sheetName val="Hoja_de_Recursos28"/>
      <sheetName val="Provisionales_28"/>
      <sheetName val="wagerate_by_craft28"/>
      <sheetName val="PPTO_28"/>
      <sheetName val="A_P_U28"/>
      <sheetName val="Columnas_de__Cerco28"/>
      <sheetName val="Losa_postensado_h=_0_2028"/>
      <sheetName val="Base_de_Equipos28"/>
      <sheetName val="LOSA_DE_PISO_E=_028"/>
      <sheetName val="Columnas_28"/>
      <sheetName val="Muros_de_Cerco28"/>
      <sheetName val="Muros_de_Contencion28"/>
      <sheetName val="Muros_Pantalla_28"/>
      <sheetName val="Cimiento_Corrido28"/>
      <sheetName val="V_C_28"/>
      <sheetName val="Vigas_y_Cortes28"/>
      <sheetName val="Cimentacion_Armada28"/>
      <sheetName val="VIGAS_DE_AMARRE_Y_DINTELES28"/>
      <sheetName val="Relleno_Rampa28"/>
      <sheetName val="Viguetas_Firth28"/>
      <sheetName val="B__equipos28"/>
      <sheetName val="Pump_Calcs28"/>
      <sheetName val="Sol_Val16"/>
      <sheetName val="Res_Val16"/>
      <sheetName val="OBRAS_PROV__Y_PRELIM_16"/>
      <sheetName val="EST_ESCALERAS16"/>
      <sheetName val="PC-19053_RP_PURUCHUCO16"/>
      <sheetName val="Metrado_0113"/>
      <sheetName val="Metrado_0213"/>
      <sheetName val="RESUMEN_METRADOS_(2)13"/>
      <sheetName val="L_MACIZAS13"/>
      <sheetName val="PLACAS_MP13"/>
      <sheetName val="PLACAS_EDIF13"/>
      <sheetName val="O_CIVIL13"/>
      <sheetName val="IIMM_LIQ13"/>
      <sheetName val="PLANILA_OC13"/>
      <sheetName val="INST_COM14"/>
      <sheetName val="RESUMEN_AJUSTADO14"/>
      <sheetName val="PRECIOS_13"/>
      <sheetName val="SIN_IGV_GR_(2)4"/>
      <sheetName val="ANALISIS_ALQUILER_FERREYROS4"/>
      <sheetName val="1_0_Partidas"/>
      <sheetName val="1__Precio_Unitarios"/>
      <sheetName val="2__APU"/>
      <sheetName val="Tarifa_Equipos"/>
      <sheetName val="Mano_de_Obr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/>
      <sheetData sheetId="484"/>
      <sheetData sheetId="485"/>
      <sheetData sheetId="486" refreshError="1"/>
      <sheetData sheetId="487" refreshError="1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 refreshError="1"/>
      <sheetData sheetId="805" refreshError="1"/>
      <sheetData sheetId="806" refreshError="1"/>
      <sheetData sheetId="807" refreshError="1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 refreshError="1"/>
      <sheetData sheetId="1363" refreshError="1"/>
      <sheetData sheetId="1364"/>
      <sheetData sheetId="1365"/>
      <sheetData sheetId="1366"/>
      <sheetData sheetId="1367"/>
      <sheetData sheetId="1368"/>
      <sheetData sheetId="1369"/>
      <sheetData sheetId="1370"/>
      <sheetData sheetId="1371" refreshError="1"/>
      <sheetData sheetId="1372" refreshError="1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/>
      <sheetData sheetId="1428" refreshError="1"/>
      <sheetData sheetId="1429" refreshError="1"/>
      <sheetData sheetId="1430" refreshError="1"/>
      <sheetData sheetId="1431"/>
      <sheetData sheetId="1432"/>
      <sheetData sheetId="1433"/>
      <sheetData sheetId="1434"/>
      <sheetData sheetId="1435"/>
      <sheetData sheetId="1436" refreshError="1"/>
      <sheetData sheetId="1437"/>
      <sheetData sheetId="1438"/>
      <sheetData sheetId="1439"/>
      <sheetData sheetId="1440"/>
      <sheetData sheetId="1441"/>
      <sheetData sheetId="1442"/>
      <sheetData sheetId="1443"/>
      <sheetData sheetId="1444" refreshError="1"/>
      <sheetData sheetId="1445" refreshError="1"/>
      <sheetData sheetId="1446"/>
      <sheetData sheetId="1447" refreshError="1"/>
      <sheetData sheetId="1448" refreshError="1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 refreshError="1"/>
      <sheetData sheetId="1461" refreshError="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 refreshError="1"/>
      <sheetData sheetId="3292" refreshError="1"/>
      <sheetData sheetId="3293" refreshError="1"/>
      <sheetData sheetId="3294" refreshError="1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 refreshError="1"/>
      <sheetData sheetId="4014" refreshError="1"/>
      <sheetData sheetId="4015" refreshError="1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ni"/>
      <sheetName val="ob"/>
      <sheetName val="mt"/>
      <sheetName val="eq"/>
      <sheetName val="presu"/>
      <sheetName val="gg"/>
      <sheetName val="주관사업"/>
      <sheetName val="Hoja3"/>
      <sheetName val="Hoja2"/>
      <sheetName val="Viguetas 36 REAL"/>
      <sheetName val="Encofrado BVR Unispan"/>
      <sheetName val="Viguetas_36_REAL"/>
      <sheetName val="Sheet1"/>
      <sheetName val="Tiraje Mix"/>
      <sheetName val="EQUIPMENT -2"/>
      <sheetName val="EQUIPMENT_-2"/>
      <sheetName val="RESUMEN DE COTIZACION"/>
      <sheetName val="OBRA CIVIL"/>
      <sheetName val="ESTRUCTURA DE HORMIGON"/>
      <sheetName val="INFRAESTRUCTURA"/>
      <sheetName val="INSTALACION ELECTRICA"/>
      <sheetName val="VIZ4"/>
      <sheetName val="VIZ7"/>
      <sheetName val="UZ"/>
      <sheetName val="Viguetas_36_REAL1"/>
      <sheetName val="Encofrado_BVR_Unispan"/>
      <sheetName val="EQUIPMENT_-21"/>
      <sheetName val="RESUMEN_DE_COTIZACION"/>
      <sheetName val="OBRA_CIVIL"/>
      <sheetName val="ESTRUCTURA_DE_HORMIGON"/>
      <sheetName val="INSTALACION_ELECTRICA"/>
      <sheetName val="Tiraje_Mix"/>
      <sheetName val="Viguetas_36_REAL2"/>
      <sheetName val="Encofrado_BVR_Unispan1"/>
      <sheetName val="EQUIPMENT_-22"/>
      <sheetName val="RESUMEN_DE_COTIZACION1"/>
      <sheetName val="OBRA_CIVIL1"/>
      <sheetName val="ESTRUCTURA_DE_HORMIGON1"/>
      <sheetName val="INSTALACION_ELECTRICA1"/>
      <sheetName val="Tiraje_Mix1"/>
      <sheetName val="ESTRIBADO"/>
      <sheetName val="Viguetas_36_REAL6"/>
      <sheetName val="Encofrado_BVR_Unispan4"/>
      <sheetName val="Tiraje_Mix4"/>
      <sheetName val="EQUIPMENT_-25"/>
      <sheetName val="RESUMEN_DE_COTIZACION4"/>
      <sheetName val="OBRA_CIVIL4"/>
      <sheetName val="ESTRUCTURA_DE_HORMIGON4"/>
      <sheetName val="INSTALACION_ELECTRICA4"/>
      <sheetName val="Viguetas_36_REAL3"/>
      <sheetName val="Viguetas_36_REAL4"/>
      <sheetName val="Encofrado_BVR_Unispan2"/>
      <sheetName val="Tiraje_Mix2"/>
      <sheetName val="EQUIPMENT_-23"/>
      <sheetName val="RESUMEN_DE_COTIZACION2"/>
      <sheetName val="OBRA_CIVIL2"/>
      <sheetName val="ESTRUCTURA_DE_HORMIGON2"/>
      <sheetName val="INSTALACION_ELECTRICA2"/>
      <sheetName val="Viguetas_36_REAL5"/>
      <sheetName val="Encofrado_BVR_Unispan3"/>
      <sheetName val="Tiraje_Mix3"/>
      <sheetName val="EQUIPMENT_-24"/>
      <sheetName val="RESUMEN_DE_COTIZACION3"/>
      <sheetName val="OBRA_CIVIL3"/>
      <sheetName val="ESTRUCTURA_DE_HORMIGON3"/>
      <sheetName val="INSTALACION_ELECTRICA3"/>
      <sheetName val="Viguetas_36_REAL10"/>
      <sheetName val="Encofrado_BVR_Unispan8"/>
      <sheetName val="Tiraje_Mix8"/>
      <sheetName val="EQUIPMENT_-29"/>
      <sheetName val="RESUMEN_DE_COTIZACION8"/>
      <sheetName val="OBRA_CIVIL8"/>
      <sheetName val="ESTRUCTURA_DE_HORMIGON8"/>
      <sheetName val="INSTALACION_ELECTRICA8"/>
      <sheetName val="Viguetas_36_REAL7"/>
      <sheetName val="Encofrado_BVR_Unispan5"/>
      <sheetName val="Tiraje_Mix5"/>
      <sheetName val="EQUIPMENT_-26"/>
      <sheetName val="RESUMEN_DE_COTIZACION5"/>
      <sheetName val="OBRA_CIVIL5"/>
      <sheetName val="ESTRUCTURA_DE_HORMIGON5"/>
      <sheetName val="INSTALACION_ELECTRICA5"/>
      <sheetName val="Viguetas_36_REAL8"/>
      <sheetName val="Encofrado_BVR_Unispan6"/>
      <sheetName val="Tiraje_Mix6"/>
      <sheetName val="EQUIPMENT_-27"/>
      <sheetName val="RESUMEN_DE_COTIZACION6"/>
      <sheetName val="OBRA_CIVIL6"/>
      <sheetName val="ESTRUCTURA_DE_HORMIGON6"/>
      <sheetName val="INSTALACION_ELECTRICA6"/>
      <sheetName val="Viguetas_36_REAL9"/>
      <sheetName val="Encofrado_BVR_Unispan7"/>
      <sheetName val="Tiraje_Mix7"/>
      <sheetName val="EQUIPMENT_-28"/>
      <sheetName val="RESUMEN_DE_COTIZACION7"/>
      <sheetName val="OBRA_CIVIL7"/>
      <sheetName val="ESTRUCTURA_DE_HORMIGON7"/>
      <sheetName val="INSTALACION_ELECTRICA7"/>
      <sheetName val="Viguetas_36_REAL11"/>
      <sheetName val="Encofrado_BVR_Unispan9"/>
      <sheetName val="Tiraje_Mix9"/>
      <sheetName val="EQUIPMENT_-210"/>
      <sheetName val="RESUMEN_DE_COTIZACION9"/>
      <sheetName val="OBRA_CIVIL9"/>
      <sheetName val="ESTRUCTURA_DE_HORMIGON9"/>
      <sheetName val="INSTALACION_ELECTRICA9"/>
      <sheetName val="GENERAL"/>
      <sheetName val="Av Sem 45"/>
      <sheetName val="Av Sem 02"/>
      <sheetName val="4. CORTE"/>
      <sheetName val="INDIRECTOS"/>
      <sheetName val="Hoja1"/>
      <sheetName val="OS"/>
      <sheetName val="Applications"/>
      <sheetName val="7813H-SS"/>
      <sheetName val="EQUIPMENT_-211"/>
      <sheetName val="Av_Sem_45"/>
      <sheetName val="Av_Sem_02"/>
      <sheetName val="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APU-A. Inst. Elect.1"/>
      <sheetName val="Viguetas_36_REAL12"/>
      <sheetName val="F-05"/>
      <sheetName val="Viguetas_36_REAL13"/>
      <sheetName val="Encofrado_BVR_Unispan11"/>
      <sheetName val="EQUIPMENT_-213"/>
      <sheetName val="RESUMEN_DE_COTIZACION11"/>
      <sheetName val="OBRA_CIVIL11"/>
      <sheetName val="ESTRUCTURA_DE_HORMIGON11"/>
      <sheetName val="INSTALACION_ELECTRICA11"/>
      <sheetName val="Tiraje_Mix11"/>
      <sheetName val="Av_Sem_451"/>
      <sheetName val="Av_Sem_021"/>
      <sheetName val="4__CORTE"/>
      <sheetName val="APU-A__Inst__Elect_1"/>
      <sheetName val="Av_Sem_452"/>
      <sheetName val="Av_Sem_022"/>
      <sheetName val="4__CORTE1"/>
      <sheetName val="PRECIOS MATERIALES"/>
      <sheetName val="G"/>
      <sheetName val="ANÁLISIS GG"/>
      <sheetName val="Tuberia"/>
      <sheetName val="LIMA-CANTA"/>
      <sheetName val="Presup"/>
      <sheetName val="Viguetas_36_REAL14"/>
      <sheetName val="Encofrado_BVR_Unispan12"/>
      <sheetName val="EQUIPMENT_-214"/>
      <sheetName val="RESUMEN_DE_COTIZACION12"/>
      <sheetName val="OBRA_CIVIL12"/>
      <sheetName val="ESTRUCTURA_DE_HORMIGON12"/>
      <sheetName val="INSTALACION_ELECTRICA12"/>
      <sheetName val="Tiraje_Mix12"/>
      <sheetName val="4__CORTE2"/>
      <sheetName val="Av_Sem_453"/>
      <sheetName val="Av_Sem_023"/>
      <sheetName val="Viguetas_36_REAL15"/>
      <sheetName val="Encofrado_BVR_Unispan13"/>
      <sheetName val="EQUIPMENT_-215"/>
      <sheetName val="RESUMEN_DE_COTIZACION13"/>
      <sheetName val="OBRA_CIVIL13"/>
      <sheetName val="ESTRUCTURA_DE_HORMIGON13"/>
      <sheetName val="INSTALACION_ELECTRICA13"/>
      <sheetName val="Tiraje_Mix13"/>
      <sheetName val="4__CORTE3"/>
      <sheetName val="Av_Sem_454"/>
      <sheetName val="Av_Sem_024"/>
      <sheetName val="APU-A__Inst__Elect_11"/>
      <sheetName val="Viguetas_36_REAL17"/>
      <sheetName val="Encofrado_BVR_Unispan15"/>
      <sheetName val="EQUIPMENT_-217"/>
      <sheetName val="RESUMEN_DE_COTIZACION15"/>
      <sheetName val="OBRA_CIVIL15"/>
      <sheetName val="ESTRUCTURA_DE_HORMIGON15"/>
      <sheetName val="INSTALACION_ELECTRICA15"/>
      <sheetName val="Tiraje_Mix15"/>
      <sheetName val="4__CORTE5"/>
      <sheetName val="Av_Sem_456"/>
      <sheetName val="Av_Sem_026"/>
      <sheetName val="APU-A__Inst__Elect_13"/>
      <sheetName val="Viguetas_36_REAL16"/>
      <sheetName val="Encofrado_BVR_Unispan14"/>
      <sheetName val="EQUIPMENT_-216"/>
      <sheetName val="RESUMEN_DE_COTIZACION14"/>
      <sheetName val="OBRA_CIVIL14"/>
      <sheetName val="ESTRUCTURA_DE_HORMIGON14"/>
      <sheetName val="INSTALACION_ELECTRICA14"/>
      <sheetName val="Tiraje_Mix14"/>
      <sheetName val="4__CORTE4"/>
      <sheetName val="Av_Sem_455"/>
      <sheetName val="Av_Sem_025"/>
      <sheetName val="APU-A__Inst__Elect_12"/>
      <sheetName val="Viguetas_36_REAL18"/>
      <sheetName val="Encofrado_BVR_Unispan16"/>
      <sheetName val="EQUIPMENT_-218"/>
      <sheetName val="RESUMEN_DE_COTIZACION16"/>
      <sheetName val="OBRA_CIVIL16"/>
      <sheetName val="ESTRUCTURA_DE_HORMIGON16"/>
      <sheetName val="INSTALACION_ELECTRICA16"/>
      <sheetName val="Tiraje_Mix16"/>
      <sheetName val="4__CORTE6"/>
      <sheetName val="Av_Sem_457"/>
      <sheetName val="Av_Sem_027"/>
      <sheetName val="APU-A__Inst__Elect_14"/>
      <sheetName val="RESUMEN"/>
      <sheetName val="PPTO"/>
      <sheetName val="G.G."/>
      <sheetName val="Da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OOPP"/>
      <sheetName val="N°1"/>
      <sheetName val="10241PIP1ON-SITE"/>
      <sheetName val="10241EQLIST"/>
      <sheetName val="PPTO "/>
      <sheetName val="A.P.U"/>
      <sheetName val="WEEKBASE"/>
      <sheetName val="4 Week Sched"/>
      <sheetName val="analisis"/>
      <sheetName val="TABLEROS"/>
      <sheetName val="Sol.Val"/>
      <sheetName val="Res.Val"/>
      <sheetName val="OBRAS PROV. Y PRELIM."/>
      <sheetName val="EST ESCALERAS"/>
      <sheetName val="PC-19053 RP PURUCHUCO"/>
      <sheetName val="Datos"/>
      <sheetName val="Damper"/>
      <sheetName val="Viguetas_36_REAL19"/>
      <sheetName val="Encofrado_BVR_Unispan17"/>
      <sheetName val="Tiraje_Mix17"/>
      <sheetName val="EQUIPMENT_-219"/>
      <sheetName val="RESUMEN_DE_COTIZACION17"/>
      <sheetName val="OBRA_CIVIL17"/>
      <sheetName val="ESTRUCTURA_DE_HORMIGON17"/>
      <sheetName val="INSTALACION_ELECTRICA17"/>
      <sheetName val="4__CORTE7"/>
      <sheetName val="Av_Sem_458"/>
      <sheetName val="Av_Sem_028"/>
      <sheetName val="Viguetas_36_REAL22"/>
      <sheetName val="Encofrado_BVR_Unispan20"/>
      <sheetName val="EQUIPMENT_-222"/>
      <sheetName val="RESUMEN_DE_COTIZACION20"/>
      <sheetName val="OBRA_CIVIL20"/>
      <sheetName val="ESTRUCTURA_DE_HORMIGON20"/>
      <sheetName val="INSTALACION_ELECTRICA20"/>
      <sheetName val="Tiraje_Mix20"/>
      <sheetName val="4__CORTE10"/>
      <sheetName val="Av_Sem_4511"/>
      <sheetName val="Av_Sem_0211"/>
      <sheetName val="APU-A__Inst__Elect_17"/>
      <sheetName val="Viguetas_36_REAL20"/>
      <sheetName val="Encofrado_BVR_Unispan18"/>
      <sheetName val="EQUIPMENT_-220"/>
      <sheetName val="RESUMEN_DE_COTIZACION18"/>
      <sheetName val="OBRA_CIVIL18"/>
      <sheetName val="ESTRUCTURA_DE_HORMIGON18"/>
      <sheetName val="INSTALACION_ELECTRICA18"/>
      <sheetName val="Tiraje_Mix18"/>
      <sheetName val="4__CORTE8"/>
      <sheetName val="Av_Sem_459"/>
      <sheetName val="Av_Sem_029"/>
      <sheetName val="APU-A__Inst__Elect_15"/>
      <sheetName val="Viguetas_36_REAL21"/>
      <sheetName val="Encofrado_BVR_Unispan19"/>
      <sheetName val="EQUIPMENT_-221"/>
      <sheetName val="RESUMEN_DE_COTIZACION19"/>
      <sheetName val="OBRA_CIVIL19"/>
      <sheetName val="ESTRUCTURA_DE_HORMIGON19"/>
      <sheetName val="INSTALACION_ELECTRICA19"/>
      <sheetName val="Tiraje_Mix19"/>
      <sheetName val="4__CORTE9"/>
      <sheetName val="Av_Sem_4510"/>
      <sheetName val="Av_Sem_0210"/>
      <sheetName val="APU-A__Inst__Elect_16"/>
      <sheetName val="Viguetas_36_REAL23"/>
      <sheetName val="Encofrado_BVR_Unispan21"/>
      <sheetName val="EQUIPMENT_-223"/>
      <sheetName val="RESUMEN_DE_COTIZACION21"/>
      <sheetName val="OBRA_CIVIL21"/>
      <sheetName val="ESTRUCTURA_DE_HORMIGON21"/>
      <sheetName val="INSTALACION_ELECTRICA21"/>
      <sheetName val="Tiraje_Mix21"/>
      <sheetName val="4__CORTE11"/>
      <sheetName val="Av_Sem_4512"/>
      <sheetName val="Av_Sem_0212"/>
      <sheetName val="Basedatos"/>
      <sheetName val="ANÁLISIS_GG"/>
      <sheetName val="Hoja de Recursos"/>
      <sheetName val="Provisionales "/>
      <sheetName val="Estructuras"/>
      <sheetName val="Arquitectura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strsumm0"/>
      <sheetName val="pu Estructuras"/>
      <sheetName val="7422cw00"/>
      <sheetName val="A"/>
      <sheetName val="Action Required"/>
      <sheetName val="PRECIOS_MATERIALES"/>
      <sheetName val="Viguetas_36_REAL24"/>
      <sheetName val="Encofrado_BVR_Unispan22"/>
      <sheetName val="EQUIPMENT_-224"/>
      <sheetName val="RESUMEN_DE_COTIZACION22"/>
      <sheetName val="OBRA_CIVIL22"/>
      <sheetName val="ESTRUCTURA_DE_HORMIGON22"/>
      <sheetName val="INSTALACION_ELECTRICA22"/>
      <sheetName val="Tiraje_Mix22"/>
      <sheetName val="Av_Sem_4513"/>
      <sheetName val="Av_Sem_0213"/>
      <sheetName val="4__CORTE12"/>
      <sheetName val="APU-A__Inst__Elect_18"/>
      <sheetName val="ANÁLISIS_GG1"/>
      <sheetName val="PRECIOS_MATERIALES1"/>
      <sheetName val="G_G_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Sol_Val"/>
      <sheetName val="Res_Val"/>
      <sheetName val="OBRAS_PROV__Y_PRELIM_"/>
      <sheetName val="EST_ESCALERAS"/>
      <sheetName val="PC-19053_RP_PURUCHUCO"/>
      <sheetName val="4_Week_Sched"/>
      <sheetName val="PPTO_"/>
      <sheetName val="A_P_U"/>
      <sheetName val="RESUMEN METRADOS (2)"/>
      <sheetName val="VIGAS"/>
      <sheetName val="PRELOSA"/>
      <sheetName val="L MACIZAS"/>
      <sheetName val="PLACAS MP"/>
      <sheetName val="PLACAS EDIF"/>
      <sheetName val="#¡REF"/>
      <sheetName val="Av S50"/>
      <sheetName val="Pre"/>
      <sheetName val="APU"/>
      <sheetName val="inter"/>
      <sheetName val="1. Time &amp; Esc"/>
      <sheetName val="Input"/>
      <sheetName val="Fcst"/>
      <sheetName val="7 &amp; 8A. SandU"/>
      <sheetName val="2&amp;3 AeroRevs"/>
      <sheetName val="4. Non-AeroRevs"/>
      <sheetName val="liebman 134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Base"/>
      <sheetName val="prices"/>
      <sheetName val="Hoja_de_Recursos"/>
      <sheetName val="Provisionales_"/>
      <sheetName val="Losa Aligerada 1 Sent (JVH)"/>
      <sheetName val="ACOSTO_EST"/>
      <sheetName val="2843 DATA"/>
      <sheetName val="O_CIVIL"/>
      <sheetName val="IIMM_LIQ"/>
      <sheetName val="PLANILA_OC"/>
      <sheetName val="Action_Required"/>
      <sheetName val="pu_Estructuras"/>
      <sheetName val="Viguetas_36_REAL25"/>
      <sheetName val="Encofrado_BVR_Unispan23"/>
      <sheetName val="EQUIPMENT_-225"/>
      <sheetName val="RESUMEN_DE_COTIZACION23"/>
      <sheetName val="OBRA_CIVIL23"/>
      <sheetName val="ESTRUCTURA_DE_HORMIGON23"/>
      <sheetName val="INSTALACION_ELECTRICA23"/>
      <sheetName val="Tiraje_Mix23"/>
      <sheetName val="Av_Sem_4514"/>
      <sheetName val="Av_Sem_0214"/>
      <sheetName val="4__CORTE13"/>
      <sheetName val="APU-A__Inst__Elect_19"/>
      <sheetName val="G_G_1"/>
      <sheetName val="ANÁLISIS_GG2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4_Week_Sched1"/>
      <sheetName val="PPTO_1"/>
      <sheetName val="A_P_U1"/>
      <sheetName val="Sol_Val1"/>
      <sheetName val="Res_Val1"/>
      <sheetName val="OBRAS_PROV__Y_PRELIM_1"/>
      <sheetName val="EST_ESCALERAS1"/>
      <sheetName val="PC-19053_RP_PURUCHUCO1"/>
      <sheetName val="pu_Estructuras1"/>
      <sheetName val="O_CIVIL1"/>
      <sheetName val="IIMM_LIQ1"/>
      <sheetName val="PLANILA_OC1"/>
      <sheetName val="Hoja_de_Recursos1"/>
      <sheetName val="Provisionales_1"/>
      <sheetName val="Action_Required1"/>
      <sheetName val="IARyPD"/>
      <sheetName val="1"/>
      <sheetName val="Viguetas_36_REAL26"/>
      <sheetName val="Encofrado_BVR_Unispan24"/>
      <sheetName val="Tiraje_Mix24"/>
      <sheetName val="EQUIPMENT_-226"/>
      <sheetName val="RESUMEN_DE_COTIZACION24"/>
      <sheetName val="OBRA_CIVIL24"/>
      <sheetName val="ESTRUCTURA_DE_HORMIGON24"/>
      <sheetName val="INSTALACION_ELECTRICA24"/>
      <sheetName val="Av_Sem_4515"/>
      <sheetName val="Av_Sem_0215"/>
      <sheetName val="4__CORTE14"/>
      <sheetName val="APU-A__Inst__Elect_110"/>
      <sheetName val="PRECIOS_MATERIALES2"/>
      <sheetName val="PPTO_2"/>
      <sheetName val="A_P_U2"/>
      <sheetName val="ANÁLISIS_GG3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G_G_2"/>
      <sheetName val="4_Week_Sched2"/>
      <sheetName val="Sol_Val2"/>
      <sheetName val="Res_Val2"/>
      <sheetName val="OBRAS_PROV__Y_PRELIM_2"/>
      <sheetName val="EST_ESCALERAS2"/>
      <sheetName val="PC-19053_RP_PURUCHUCO2"/>
      <sheetName val="O_CIVIL2"/>
      <sheetName val="IIMM_LIQ2"/>
      <sheetName val="PLANILA_OC2"/>
      <sheetName val="Hoja_de_Recursos2"/>
      <sheetName val="Provisionales_2"/>
      <sheetName val="pu_Estructuras2"/>
      <sheetName val="Action_Required2"/>
      <sheetName val="Av_S50"/>
      <sheetName val="RESUMEN_METRADOS_(2)"/>
      <sheetName val="L_MACIZAS"/>
      <sheetName val="PLACAS_MP"/>
      <sheetName val="PLACAS_EDIF"/>
      <sheetName val="1__Time_&amp;_Esc"/>
      <sheetName val="7_&amp;_8A__SandU"/>
      <sheetName val="2&amp;3_AeroRevs"/>
      <sheetName val="4__Non-AeroRevs"/>
      <sheetName val="liebman_134"/>
      <sheetName val="Pump_Calcs"/>
      <sheetName val="00-043_dat"/>
      <sheetName val="Riesgo_en_cambio"/>
      <sheetName val="Losa_Aligerada_1_Sent_(JVH)"/>
      <sheetName val="2843_DATA"/>
      <sheetName val="ANÁLISIS_GG5"/>
      <sheetName val="ANÁLISIS_GG4"/>
      <sheetName val="ANÁLISIS_GG6"/>
      <sheetName val="ANÁLISIS_GG7"/>
      <sheetName val="ANÁLISIS_GG8"/>
      <sheetName val="ANÁLISIS_GG9"/>
      <sheetName val="Metrado 01"/>
      <sheetName val="Metrado 02"/>
      <sheetName val="Viguetas_36_REAL27"/>
      <sheetName val="Encofrado_BVR_Unispan25"/>
      <sheetName val="EQUIPMENT_-227"/>
      <sheetName val="RESUMEN_DE_COTIZACION25"/>
      <sheetName val="OBRA_CIVIL25"/>
      <sheetName val="ESTRUCTURA_DE_HORMIGON25"/>
      <sheetName val="INSTALACION_ELECTRICA25"/>
      <sheetName val="Tiraje_Mix25"/>
      <sheetName val="Av_Sem_4516"/>
      <sheetName val="Av_Sem_0216"/>
      <sheetName val="4__CORTE15"/>
      <sheetName val="APU-A__Inst__Elect_111"/>
      <sheetName val="PRECIOS_MATERIALES3"/>
      <sheetName val="PPTO_4"/>
      <sheetName val="A_P_U4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G_G_3"/>
      <sheetName val="4_Week_Sched3"/>
      <sheetName val="Sol_Val3"/>
      <sheetName val="Res_Val3"/>
      <sheetName val="OBRAS_PROV__Y_PRELIM_3"/>
      <sheetName val="EST_ESCALERAS3"/>
      <sheetName val="PC-19053_RP_PURUCHUCO3"/>
      <sheetName val="pu_Estructuras3"/>
      <sheetName val="O_CIVIL3"/>
      <sheetName val="IIMM_LIQ3"/>
      <sheetName val="PLANILA_OC3"/>
      <sheetName val="Hoja_de_Recursos3"/>
      <sheetName val="Provisionales_3"/>
      <sheetName val="PPTO_3"/>
      <sheetName val="A_P_U3"/>
      <sheetName val="Cdr 9"/>
      <sheetName val="ANÁLISIS_GG10"/>
      <sheetName val="METRADO"/>
      <sheetName val="liebman_1341"/>
      <sheetName val="Action_Required3"/>
      <sheetName val="Av_S501"/>
      <sheetName val="RESUMEN_METRADOS_(2)1"/>
      <sheetName val="L_MACIZAS1"/>
      <sheetName val="PLACAS_MP1"/>
      <sheetName val="PLACAS_EDIF1"/>
      <sheetName val="1__Time_&amp;_Esc1"/>
      <sheetName val="7_&amp;_8A__SandU1"/>
      <sheetName val="2&amp;3_AeroRevs1"/>
      <sheetName val="4__Non-AeroRevs1"/>
      <sheetName val="Pump_Calcs1"/>
      <sheetName val="00-043_dat1"/>
      <sheetName val="Riesgo_en_cambio1"/>
      <sheetName val="Losa_Aligerada_1_Sent_(JVH)1"/>
      <sheetName val="2843_DATA1"/>
      <sheetName val="PUNIT"/>
      <sheetName val="PRECIOS_MATERIALES4"/>
      <sheetName val="Viguetas_36_REAL28"/>
      <sheetName val="Encofrado_BVR_Unispan26"/>
      <sheetName val="EQUIPMENT_-228"/>
      <sheetName val="RESUMEN_DE_COTIZACION26"/>
      <sheetName val="OBRA_CIVIL26"/>
      <sheetName val="ESTRUCTURA_DE_HORMIGON26"/>
      <sheetName val="INSTALACION_ELECTRICA26"/>
      <sheetName val="Tiraje_Mix26"/>
      <sheetName val="Av_Sem_4517"/>
      <sheetName val="Av_Sem_0217"/>
      <sheetName val="4__CORTE16"/>
      <sheetName val="APU-A__Inst__Elect_112"/>
      <sheetName val="PRECIOS_MATERIALES5"/>
      <sheetName val="G_G_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Sol_Val4"/>
      <sheetName val="Res_Val4"/>
      <sheetName val="OBRAS_PROV__Y_PRELIM_4"/>
      <sheetName val="EST_ESCALERAS4"/>
      <sheetName val="PC-19053_RP_PURUCHUCO4"/>
      <sheetName val="4_Week_Sched4"/>
      <sheetName val="Viguetas_36_REAL29"/>
      <sheetName val="Encofrado_BVR_Unispan27"/>
      <sheetName val="EQUIPMENT_-229"/>
      <sheetName val="RESUMEN_DE_COTIZACION27"/>
      <sheetName val="OBRA_CIVIL27"/>
      <sheetName val="ESTRUCTURA_DE_HORMIGON27"/>
      <sheetName val="INSTALACION_ELECTRICA27"/>
      <sheetName val="Tiraje_Mix27"/>
      <sheetName val="Av_Sem_4518"/>
      <sheetName val="Av_Sem_0218"/>
      <sheetName val="4__CORTE17"/>
      <sheetName val="APU-A__Inst__Elect_113"/>
      <sheetName val="PRECIOS_MATERIALES6"/>
      <sheetName val="G_G_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PPTO_5"/>
      <sheetName val="A_P_U5"/>
      <sheetName val="4_Week_Sched5"/>
      <sheetName val="Sol_Val5"/>
      <sheetName val="Res_Val5"/>
      <sheetName val="OBRAS_PROV__Y_PRELIM_5"/>
      <sheetName val="EST_ESCALERAS5"/>
      <sheetName val="PC-19053_RP_PURUCHUCO5"/>
      <sheetName val="O_CIVIL4"/>
      <sheetName val="IIMM_LIQ4"/>
      <sheetName val="PLANILA_OC4"/>
      <sheetName val="Hoja_de_Recursos4"/>
      <sheetName val="Provisionales_4"/>
      <sheetName val="pu_Estructuras4"/>
      <sheetName val="Viguetas_36_REAL30"/>
      <sheetName val="Encofrado_BVR_Unispan28"/>
      <sheetName val="EQUIPMENT_-230"/>
      <sheetName val="RESUMEN_DE_COTIZACION28"/>
      <sheetName val="OBRA_CIVIL28"/>
      <sheetName val="ESTRUCTURA_DE_HORMIGON28"/>
      <sheetName val="INSTALACION_ELECTRICA28"/>
      <sheetName val="Tiraje_Mix28"/>
      <sheetName val="Av_Sem_4519"/>
      <sheetName val="Av_Sem_0219"/>
      <sheetName val="4__CORTE18"/>
      <sheetName val="APU-A__Inst__Elect_114"/>
      <sheetName val="PRECIOS_MATERIALES7"/>
      <sheetName val="G_G_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Sol_Val6"/>
      <sheetName val="Res_Val6"/>
      <sheetName val="OBRAS_PROV__Y_PRELIM_6"/>
      <sheetName val="EST_ESCALERAS6"/>
      <sheetName val="PC-19053_RP_PURUCHUCO6"/>
      <sheetName val="4_Week_Sched6"/>
      <sheetName val="PPTO_6"/>
      <sheetName val="A_P_U6"/>
      <sheetName val="O_CIVIL5"/>
      <sheetName val="IIMM_LIQ5"/>
      <sheetName val="PLANILA_OC5"/>
      <sheetName val="Hoja_de_Recursos5"/>
      <sheetName val="Provisionales_5"/>
      <sheetName val="pu_Estructuras5"/>
      <sheetName val="Cdr_9"/>
      <sheetName val="ANÁLISIS_GG11"/>
      <sheetName val="liebman_1342"/>
      <sheetName val="Cdr_91"/>
      <sheetName val="Hoja_de_Recursos6"/>
      <sheetName val="Provisionales_6"/>
      <sheetName val="EQUIPMENT_-231"/>
      <sheetName val="RESUMEN_DE_COTIZACION29"/>
      <sheetName val="OBRA_CIVIL29"/>
      <sheetName val="ESTRUCTURA_DE_HORMIGON29"/>
      <sheetName val="INSTALACION_ELECTRICA29"/>
      <sheetName val="Encofrado_BVR_Unispan29"/>
      <sheetName val="Viguetas_36_REAL31"/>
      <sheetName val="Tiraje_Mix29"/>
      <sheetName val="Av_Sem_4520"/>
      <sheetName val="Av_Sem_0220"/>
      <sheetName val="4__CORTE19"/>
      <sheetName val="APU-A__Inst__Elect_115"/>
      <sheetName val="PPTO_7"/>
      <sheetName val="A_P_U7"/>
      <sheetName val="G_G_7"/>
      <sheetName val="4_Week_Sched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Sol_Val7"/>
      <sheetName val="Res_Val7"/>
      <sheetName val="OBRAS_PROV__Y_PRELIM_7"/>
      <sheetName val="EST_ESCALERAS7"/>
      <sheetName val="PC-19053_RP_PURUCHUCO7"/>
      <sheetName val="Hoja_de_Recursos7"/>
      <sheetName val="Provisionales_7"/>
      <sheetName val="EQUIPMENT_-232"/>
      <sheetName val="RESUMEN_DE_COTIZACION30"/>
      <sheetName val="OBRA_CIVIL30"/>
      <sheetName val="ESTRUCTURA_DE_HORMIGON30"/>
      <sheetName val="INSTALACION_ELECTRICA30"/>
      <sheetName val="Encofrado_BVR_Unispan30"/>
      <sheetName val="Viguetas_36_REAL32"/>
      <sheetName val="Tiraje_Mix30"/>
      <sheetName val="Av_Sem_4521"/>
      <sheetName val="Av_Sem_0221"/>
      <sheetName val="4__CORTE20"/>
      <sheetName val="APU-A__Inst__Elect_116"/>
      <sheetName val="PPTO_8"/>
      <sheetName val="A_P_U8"/>
      <sheetName val="G_G_8"/>
      <sheetName val="4_Week_Sched8"/>
      <sheetName val="PRECIOS_MATERIALES8"/>
      <sheetName val="CUADRO_RESUMEN8"/>
      <sheetName val="OBRA_GRUESA8"/>
      <sheetName val="3__ITEM_IISS8"/>
      <sheetName val="4__ITEM_IIEE8"/>
      <sheetName val="5_ITEM_INST_MECAN8"/>
      <sheetName val="VG_8"/>
      <sheetName val="ESC_18"/>
      <sheetName val="Sol_Val8"/>
      <sheetName val="Res_Val8"/>
      <sheetName val="OBRAS_PROV__Y_PRELIM_8"/>
      <sheetName val="EST_ESCALERAS8"/>
      <sheetName val="PC-19053_RP_PURUCHUCO8"/>
      <sheetName val="Hoja_de_Recursos8"/>
      <sheetName val="Provisionales_8"/>
      <sheetName val="EQUIPMENT_-233"/>
      <sheetName val="RESUMEN_DE_COTIZACION31"/>
      <sheetName val="OBRA_CIVIL31"/>
      <sheetName val="ESTRUCTURA_DE_HORMIGON31"/>
      <sheetName val="INSTALACION_ELECTRICA31"/>
      <sheetName val="Encofrado_BVR_Unispan31"/>
      <sheetName val="Viguetas_36_REAL33"/>
      <sheetName val="Tiraje_Mix31"/>
      <sheetName val="Av_Sem_4522"/>
      <sheetName val="Av_Sem_0222"/>
      <sheetName val="4__CORTE21"/>
      <sheetName val="APU-A__Inst__Elect_117"/>
      <sheetName val="PPTO_9"/>
      <sheetName val="A_P_U9"/>
      <sheetName val="G_G_9"/>
      <sheetName val="4_Week_Sched9"/>
      <sheetName val="PRECIOS_MATERIALES9"/>
      <sheetName val="CUADRO_RESUMEN9"/>
      <sheetName val="OBRA_GRUESA9"/>
      <sheetName val="3__ITEM_IISS9"/>
      <sheetName val="4__ITEM_IIEE9"/>
      <sheetName val="5_ITEM_INST_MECAN9"/>
      <sheetName val="VG_9"/>
      <sheetName val="ESC_19"/>
      <sheetName val="Sol_Val9"/>
      <sheetName val="Res_Val9"/>
      <sheetName val="OBRAS_PROV__Y_PRELIM_9"/>
      <sheetName val="EST_ESCALERAS9"/>
      <sheetName val="PC-19053_RP_PURUCHUCO9"/>
      <sheetName val="Hoja_de_Recursos9"/>
      <sheetName val="Provisionales_9"/>
      <sheetName val="EQUIPMENT_-234"/>
      <sheetName val="RESUMEN_DE_COTIZACION32"/>
      <sheetName val="OBRA_CIVIL32"/>
      <sheetName val="ESTRUCTURA_DE_HORMIGON32"/>
      <sheetName val="INSTALACION_ELECTRICA32"/>
      <sheetName val="Encofrado_BVR_Unispan32"/>
      <sheetName val="Viguetas_36_REAL34"/>
      <sheetName val="Tiraje_Mix32"/>
      <sheetName val="Av_Sem_4523"/>
      <sheetName val="Av_Sem_0223"/>
      <sheetName val="4__CORTE22"/>
      <sheetName val="APU-A__Inst__Elect_118"/>
      <sheetName val="PPTO_10"/>
      <sheetName val="A_P_U10"/>
      <sheetName val="G_G_10"/>
      <sheetName val="4_Week_Sched10"/>
      <sheetName val="PRECIOS_MATERIALES10"/>
      <sheetName val="CUADRO_RESUMEN10"/>
      <sheetName val="OBRA_GRUESA10"/>
      <sheetName val="3__ITEM_IISS10"/>
      <sheetName val="4__ITEM_IIEE10"/>
      <sheetName val="5_ITEM_INST_MECAN10"/>
      <sheetName val="VG_10"/>
      <sheetName val="ESC_110"/>
      <sheetName val="Sol_Val10"/>
      <sheetName val="Res_Val10"/>
      <sheetName val="OBRAS_PROV__Y_PRELIM_10"/>
      <sheetName val="EST_ESCALERAS10"/>
      <sheetName val="PC-19053_RP_PURUCHUCO10"/>
      <sheetName val="Hoja_de_Recursos10"/>
      <sheetName val="Provisionales_10"/>
      <sheetName val="EQUIPMENT_-235"/>
      <sheetName val="RESUMEN_DE_COTIZACION33"/>
      <sheetName val="OBRA_CIVIL33"/>
      <sheetName val="ESTRUCTURA_DE_HORMIGON33"/>
      <sheetName val="INSTALACION_ELECTRICA33"/>
      <sheetName val="Encofrado_BVR_Unispan33"/>
      <sheetName val="Viguetas_36_REAL35"/>
      <sheetName val="Tiraje_Mix33"/>
      <sheetName val="Av_Sem_4524"/>
      <sheetName val="Av_Sem_0224"/>
      <sheetName val="4__CORTE23"/>
      <sheetName val="APU-A__Inst__Elect_119"/>
      <sheetName val="PPTO_11"/>
      <sheetName val="A_P_U11"/>
      <sheetName val="G_G_11"/>
      <sheetName val="ANÁLISIS_GG12"/>
      <sheetName val="4_Week_Sched11"/>
      <sheetName val="PRECIOS_MATERIALES11"/>
      <sheetName val="CUADRO_RESUMEN11"/>
      <sheetName val="OBRA_GRUESA11"/>
      <sheetName val="3__ITEM_IISS11"/>
      <sheetName val="4__ITEM_IIEE11"/>
      <sheetName val="5_ITEM_INST_MECAN11"/>
      <sheetName val="VG_11"/>
      <sheetName val="ESC_111"/>
      <sheetName val="Sol_Val11"/>
      <sheetName val="Res_Val11"/>
      <sheetName val="OBRAS_PROV__Y_PRELIM_11"/>
      <sheetName val="EST_ESCALERAS11"/>
      <sheetName val="PC-19053_RP_PURUCHUCO11"/>
      <sheetName val="Hoja_de_Recursos11"/>
      <sheetName val="Provisionales_11"/>
      <sheetName val="EQUIPMENT_-236"/>
      <sheetName val="Encofrado_BVR_Unispan34"/>
      <sheetName val="RESUMEN_DE_COTIZACION34"/>
      <sheetName val="OBRA_CIVIL34"/>
      <sheetName val="ESTRUCTURA_DE_HORMIGON34"/>
      <sheetName val="INSTALACION_ELECTRICA34"/>
      <sheetName val="Viguetas_36_REAL36"/>
      <sheetName val="Tiraje_Mix34"/>
      <sheetName val="Av_Sem_4525"/>
      <sheetName val="Av_Sem_0225"/>
      <sheetName val="4__CORTE24"/>
      <sheetName val="APU-A__Inst__Elect_120"/>
      <sheetName val="ANÁLISIS_GG13"/>
      <sheetName val="4_Week_Sched12"/>
      <sheetName val="PRECIOS_MATERIALES12"/>
      <sheetName val="G_G_12"/>
      <sheetName val="PPTO_12"/>
      <sheetName val="A_P_U12"/>
      <sheetName val="Sol_Val12"/>
      <sheetName val="Res_Val12"/>
      <sheetName val="OBRAS_PROV__Y_PRELIM_12"/>
      <sheetName val="EST_ESCALERAS12"/>
      <sheetName val="PC-19053_RP_PURUCHUCO12"/>
      <sheetName val="CUADRO_RESUMEN12"/>
      <sheetName val="OBRA_GRUESA12"/>
      <sheetName val="3__ITEM_IISS12"/>
      <sheetName val="4__ITEM_IIEE12"/>
      <sheetName val="5_ITEM_INST_MECAN12"/>
      <sheetName val="VG_12"/>
      <sheetName val="ESC_112"/>
      <sheetName val="Hoja_de_Recursos12"/>
      <sheetName val="Provisionales_12"/>
      <sheetName val="liebman_1343"/>
      <sheetName val="EQUIPMENT_-237"/>
      <sheetName val="Encofrado_BVR_Unispan35"/>
      <sheetName val="RESUMEN_DE_COTIZACION35"/>
      <sheetName val="OBRA_CIVIL35"/>
      <sheetName val="ESTRUCTURA_DE_HORMIGON35"/>
      <sheetName val="INSTALACION_ELECTRICA35"/>
      <sheetName val="Viguetas_36_REAL37"/>
      <sheetName val="Tiraje_Mix35"/>
      <sheetName val="Av_Sem_4526"/>
      <sheetName val="Av_Sem_0226"/>
      <sheetName val="4__CORTE25"/>
      <sheetName val="APU-A__Inst__Elect_121"/>
      <sheetName val="ANÁLISIS_GG14"/>
      <sheetName val="4_Week_Sched13"/>
      <sheetName val="PRECIOS_MATERIALES13"/>
      <sheetName val="G_G_13"/>
      <sheetName val="PPTO_13"/>
      <sheetName val="A_P_U13"/>
      <sheetName val="Sol_Val13"/>
      <sheetName val="Res_Val13"/>
      <sheetName val="OBRAS_PROV__Y_PRELIM_13"/>
      <sheetName val="EST_ESCALERAS13"/>
      <sheetName val="PC-19053_RP_PURUCHUCO13"/>
      <sheetName val="CUADRO_RESUMEN13"/>
      <sheetName val="OBRA_GRUESA13"/>
      <sheetName val="3__ITEM_IISS13"/>
      <sheetName val="4__ITEM_IIEE13"/>
      <sheetName val="5_ITEM_INST_MECAN13"/>
      <sheetName val="VG_13"/>
      <sheetName val="ESC_113"/>
      <sheetName val="Hoja_de_Recursos13"/>
      <sheetName val="Provisionales_13"/>
      <sheetName val="liebman_1344"/>
      <sheetName val="MATRIZ"/>
      <sheetName val="Inversión"/>
      <sheetName val="A-4"/>
      <sheetName val="BASE DATOS"/>
      <sheetName val="cie10"/>
      <sheetName val="A.SENSIBILIDAD"/>
      <sheetName val="FLUJOS"/>
      <sheetName val="P3"/>
      <sheetName val="p3 modelo"/>
      <sheetName val="DEMANDA"/>
    </sheetNames>
    <sheetDataSet>
      <sheetData sheetId="0" refreshError="1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/>
      <sheetData sheetId="120" refreshError="1"/>
      <sheetData sheetId="121" refreshError="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 refreshError="1"/>
      <sheetData sheetId="145"/>
      <sheetData sheetId="146"/>
      <sheetData sheetId="147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 refreshError="1"/>
      <sheetData sheetId="229" refreshError="1"/>
      <sheetData sheetId="230" refreshError="1"/>
      <sheetData sheetId="231" refreshError="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 refreshError="1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 refreshError="1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/>
      <sheetData sheetId="401" refreshError="1"/>
      <sheetData sheetId="402" refreshError="1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 refreshError="1"/>
      <sheetData sheetId="505" refreshError="1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 refreshError="1"/>
      <sheetData sheetId="544"/>
      <sheetData sheetId="545" refreshError="1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 refreshError="1"/>
      <sheetData sheetId="889" refreshError="1"/>
      <sheetData sheetId="890"/>
      <sheetData sheetId="891" refreshError="1"/>
      <sheetData sheetId="892" refreshError="1"/>
      <sheetData sheetId="893"/>
      <sheetData sheetId="894"/>
      <sheetData sheetId="895" refreshError="1"/>
      <sheetData sheetId="896" refreshError="1"/>
      <sheetData sheetId="897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uni"/>
      <sheetName val="ob"/>
      <sheetName val="mt"/>
      <sheetName val="eq"/>
      <sheetName val="presu"/>
      <sheetName val="gg"/>
      <sheetName val="EQUIPMENT -2"/>
      <sheetName val="EQUIPMENT_-2"/>
      <sheetName val="Encofrado BVR Unispan"/>
      <sheetName val="RESUMEN DE COTIZACION"/>
      <sheetName val="OBRA CIVIL"/>
      <sheetName val="ESTRUCTURA DE HORMIGON"/>
      <sheetName val="INFRAESTRUCTURA"/>
      <sheetName val="INSTALACION ELECTRICA"/>
      <sheetName val="주관사업"/>
      <sheetName val="Hoja3"/>
      <sheetName val="Hoja2"/>
      <sheetName val="Viguetas 36 REAL"/>
      <sheetName val="Viguetas_36_REAL"/>
      <sheetName val="Sheet1"/>
      <sheetName val="Tiraje Mix"/>
      <sheetName val="VIZ4"/>
      <sheetName val="VIZ7"/>
      <sheetName val="UZ"/>
      <sheetName val="EQUIPMENT_-21"/>
      <sheetName val="RESUMEN_DE_COTIZACION"/>
      <sheetName val="OBRA_CIVIL"/>
      <sheetName val="ESTRUCTURA_DE_HORMIGON"/>
      <sheetName val="INSTALACION_ELECTRICA"/>
      <sheetName val="Encofrado_BVR_Unispan"/>
      <sheetName val="Viguetas_36_REAL1"/>
      <sheetName val="EQUIPMENT_-22"/>
      <sheetName val="RESUMEN_DE_COTIZACION1"/>
      <sheetName val="OBRA_CIVIL1"/>
      <sheetName val="ESTRUCTURA_DE_HORMIGON1"/>
      <sheetName val="INSTALACION_ELECTRICA1"/>
      <sheetName val="Encofrado_BVR_Unispan1"/>
      <sheetName val="Viguetas_36_REAL2"/>
      <sheetName val="Tiraje_Mix"/>
      <sheetName val="Tiraje_Mix1"/>
      <sheetName val="ESTRIBADO"/>
      <sheetName val="Av Sem 45"/>
      <sheetName val="Av Sem 02"/>
      <sheetName val="Hoja1"/>
      <sheetName val="7813H-SS"/>
      <sheetName val="EQUIPMENT_-26"/>
      <sheetName val="RESUMEN_DE_COTIZACION4"/>
      <sheetName val="OBRA_CIVIL4"/>
      <sheetName val="ESTRUCTURA_DE_HORMIGON4"/>
      <sheetName val="INSTALACION_ELECTRICA4"/>
      <sheetName val="Encofrado_BVR_Unispan4"/>
      <sheetName val="Viguetas_36_REAL5"/>
      <sheetName val="Tiraje_Mix4"/>
      <sheetName val="EQUIPMENT_-23"/>
      <sheetName val="EQUIPMENT_-24"/>
      <sheetName val="RESUMEN_DE_COTIZACION2"/>
      <sheetName val="OBRA_CIVIL2"/>
      <sheetName val="ESTRUCTURA_DE_HORMIGON2"/>
      <sheetName val="INSTALACION_ELECTRICA2"/>
      <sheetName val="Encofrado_BVR_Unispan2"/>
      <sheetName val="Viguetas_36_REAL3"/>
      <sheetName val="Tiraje_Mix2"/>
      <sheetName val="EQUIPMENT_-25"/>
      <sheetName val="RESUMEN_DE_COTIZACION3"/>
      <sheetName val="OBRA_CIVIL3"/>
      <sheetName val="ESTRUCTURA_DE_HORMIGON3"/>
      <sheetName val="INSTALACION_ELECTRICA3"/>
      <sheetName val="Encofrado_BVR_Unispan3"/>
      <sheetName val="Viguetas_36_REAL4"/>
      <sheetName val="Tiraje_Mix3"/>
      <sheetName val="EQUIPMENT_-210"/>
      <sheetName val="RESUMEN_DE_COTIZACION8"/>
      <sheetName val="OBRA_CIVIL8"/>
      <sheetName val="ESTRUCTURA_DE_HORMIGON8"/>
      <sheetName val="INSTALACION_ELECTRICA8"/>
      <sheetName val="Encofrado_BVR_Unispan8"/>
      <sheetName val="Viguetas_36_REAL9"/>
      <sheetName val="Tiraje_Mix8"/>
      <sheetName val="EQUIPMENT_-27"/>
      <sheetName val="RESUMEN_DE_COTIZACION5"/>
      <sheetName val="OBRA_CIVIL5"/>
      <sheetName val="ESTRUCTURA_DE_HORMIGON5"/>
      <sheetName val="INSTALACION_ELECTRICA5"/>
      <sheetName val="Encofrado_BVR_Unispan5"/>
      <sheetName val="Viguetas_36_REAL6"/>
      <sheetName val="Tiraje_Mix5"/>
      <sheetName val="EQUIPMENT_-28"/>
      <sheetName val="RESUMEN_DE_COTIZACION6"/>
      <sheetName val="OBRA_CIVIL6"/>
      <sheetName val="ESTRUCTURA_DE_HORMIGON6"/>
      <sheetName val="INSTALACION_ELECTRICA6"/>
      <sheetName val="Encofrado_BVR_Unispan6"/>
      <sheetName val="Viguetas_36_REAL7"/>
      <sheetName val="Tiraje_Mix6"/>
      <sheetName val="EQUIPMENT_-29"/>
      <sheetName val="RESUMEN_DE_COTIZACION7"/>
      <sheetName val="OBRA_CIVIL7"/>
      <sheetName val="ESTRUCTURA_DE_HORMIGON7"/>
      <sheetName val="INSTALACION_ELECTRICA7"/>
      <sheetName val="Encofrado_BVR_Unispan7"/>
      <sheetName val="Viguetas_36_REAL8"/>
      <sheetName val="Tiraje_Mix7"/>
      <sheetName val="EQUIPMENT_-211"/>
      <sheetName val="RESUMEN_DE_COTIZACION9"/>
      <sheetName val="OBRA_CIVIL9"/>
      <sheetName val="ESTRUCTURA_DE_HORMIGON9"/>
      <sheetName val="INSTALACION_ELECTRICA9"/>
      <sheetName val="Encofrado_BVR_Unispan9"/>
      <sheetName val="Viguetas_36_REAL10"/>
      <sheetName val="Tiraje_Mix9"/>
      <sheetName val="Viguetas_36_REAL11"/>
      <sheetName val="Av_Sem_45"/>
      <sheetName val="Av_Sem_02"/>
      <sheetName val="EQUIPMENT_-212"/>
      <sheetName val="Encofrado_BVR_Unispan10"/>
      <sheetName val="RESUMEN_DE_COTIZACION10"/>
      <sheetName val="OBRA_CIVIL10"/>
      <sheetName val="ESTRUCTURA_DE_HORMIGON10"/>
      <sheetName val="INSTALACION_ELECTRICA10"/>
      <sheetName val="Tiraje_Mix10"/>
      <sheetName val="GENERAL"/>
      <sheetName val="4. CORTE"/>
      <sheetName val="OS"/>
      <sheetName val="Applications"/>
      <sheetName val=""/>
      <sheetName val="INDIRECTOS"/>
      <sheetName val="APU-A. Inst. Elect.1"/>
      <sheetName val="Viguetas_36_REAL12"/>
      <sheetName val="F-05"/>
      <sheetName val="Av_Sem_451"/>
      <sheetName val="Av_Sem_021"/>
      <sheetName val="EQUIPMENT_-213"/>
      <sheetName val="RESUMEN_DE_COTIZACION11"/>
      <sheetName val="OBRA_CIVIL11"/>
      <sheetName val="ESTRUCTURA_DE_HORMIGON11"/>
      <sheetName val="INSTALACION_ELECTRICA11"/>
      <sheetName val="Encofrado_BVR_Unispan11"/>
      <sheetName val="Viguetas_36_REAL13"/>
      <sheetName val="Tiraje_Mix11"/>
      <sheetName val="Av_Sem_452"/>
      <sheetName val="Av_Sem_022"/>
      <sheetName val="4__CORTE"/>
      <sheetName val="OOPP"/>
      <sheetName val="N°1"/>
      <sheetName val="G"/>
      <sheetName val="ANÁLISIS GG"/>
      <sheetName val="Tuberia"/>
      <sheetName val="APU-A__Inst__Elect_1"/>
      <sheetName val="4__CORTE1"/>
      <sheetName val="WEEKBASE"/>
      <sheetName val="4 Week Sched"/>
      <sheetName val="RESUMEN"/>
      <sheetName val="analisis"/>
      <sheetName val="TABLEROS"/>
      <sheetName val="EQUIPMENT_-214"/>
      <sheetName val="Encofrado_BVR_Unispan12"/>
      <sheetName val="RESUMEN_DE_COTIZACION12"/>
      <sheetName val="OBRA_CIVIL12"/>
      <sheetName val="ESTRUCTURA_DE_HORMIGON12"/>
      <sheetName val="INSTALACION_ELECTRICA12"/>
      <sheetName val="Viguetas_36_REAL14"/>
      <sheetName val="Tiraje_Mix12"/>
      <sheetName val="Av_Sem_453"/>
      <sheetName val="Av_Sem_023"/>
      <sheetName val="EQUIPMENT_-215"/>
      <sheetName val="Encofrado_BVR_Unispan13"/>
      <sheetName val="RESUMEN_DE_COTIZACION13"/>
      <sheetName val="OBRA_CIVIL13"/>
      <sheetName val="ESTRUCTURA_DE_HORMIGON13"/>
      <sheetName val="INSTALACION_ELECTRICA13"/>
      <sheetName val="Viguetas_36_REAL15"/>
      <sheetName val="Tiraje_Mix13"/>
      <sheetName val="Av_Sem_454"/>
      <sheetName val="Av_Sem_024"/>
      <sheetName val="EQUIPMENT_-217"/>
      <sheetName val="Encofrado_BVR_Unispan15"/>
      <sheetName val="RESUMEN_DE_COTIZACION15"/>
      <sheetName val="OBRA_CIVIL15"/>
      <sheetName val="ESTRUCTURA_DE_HORMIGON15"/>
      <sheetName val="INSTALACION_ELECTRICA15"/>
      <sheetName val="Viguetas_36_REAL17"/>
      <sheetName val="Tiraje_Mix15"/>
      <sheetName val="Av_Sem_456"/>
      <sheetName val="Av_Sem_026"/>
      <sheetName val="4__CORTE3"/>
      <sheetName val="EQUIPMENT_-216"/>
      <sheetName val="Encofrado_BVR_Unispan14"/>
      <sheetName val="RESUMEN_DE_COTIZACION14"/>
      <sheetName val="OBRA_CIVIL14"/>
      <sheetName val="ESTRUCTURA_DE_HORMIGON14"/>
      <sheetName val="INSTALACION_ELECTRICA14"/>
      <sheetName val="Viguetas_36_REAL16"/>
      <sheetName val="Tiraje_Mix14"/>
      <sheetName val="Av_Sem_455"/>
      <sheetName val="Av_Sem_025"/>
      <sheetName val="4__CORTE2"/>
      <sheetName val="EQUIPMENT_-218"/>
      <sheetName val="Encofrado_BVR_Unispan16"/>
      <sheetName val="RESUMEN_DE_COTIZACION16"/>
      <sheetName val="OBRA_CIVIL16"/>
      <sheetName val="ESTRUCTURA_DE_HORMIGON16"/>
      <sheetName val="INSTALACION_ELECTRICA16"/>
      <sheetName val="Viguetas_36_REAL18"/>
      <sheetName val="Tiraje_Mix16"/>
      <sheetName val="Av_Sem_457"/>
      <sheetName val="Av_Sem_027"/>
      <sheetName val="4__CORTE4"/>
      <sheetName val="Datos"/>
      <sheetName val="PPTO"/>
      <sheetName val="G.G."/>
      <sheetName val="PPTO "/>
      <sheetName val="A.P.U"/>
      <sheetName val="PRECIOS MATERIALES"/>
      <sheetName val="APU-A__Inst__Elect_11"/>
      <sheetName val="4__CORTE5"/>
      <sheetName val="APU-A__Inst__Elect_13"/>
      <sheetName val="APU-A__Inst__Elect_12"/>
      <sheetName val="4__CORTE6"/>
      <sheetName val="APU-A__Inst__Elect_14"/>
      <sheetName val="10241PIP1ON-SITE"/>
      <sheetName val="10241EQLIST"/>
      <sheetName val="LIMA-CANTA"/>
      <sheetName val="CUADRO RESUMEN"/>
      <sheetName val="PRELIMINARES"/>
      <sheetName val="OBRA GRUESA"/>
      <sheetName val="ARQUIT"/>
      <sheetName val="3. ITEM IISS"/>
      <sheetName val="4. ITEM IIEE"/>
      <sheetName val="5.ITEM INST MECAN"/>
      <sheetName val="RAMPA"/>
      <sheetName val="VG "/>
      <sheetName val="CIMIENTOS"/>
      <sheetName val="LA"/>
      <sheetName val="PLACAS"/>
      <sheetName val="CISTERNA"/>
      <sheetName val="CL"/>
      <sheetName val="ESC 1"/>
      <sheetName val="ANÁLISIS_GG"/>
      <sheetName val="Sol.Val"/>
      <sheetName val="Res.Val"/>
      <sheetName val="OBRAS PROV. Y PRELIM."/>
      <sheetName val="EST ESCALERAS"/>
      <sheetName val="PC-19053 RP PURUCHUCO"/>
      <sheetName val="Data"/>
      <sheetName val="EQUIPMENT_-219"/>
      <sheetName val="RESUMEN_DE_COTIZACION17"/>
      <sheetName val="OBRA_CIVIL17"/>
      <sheetName val="ESTRUCTURA_DE_HORMIGON17"/>
      <sheetName val="INSTALACION_ELECTRICA17"/>
      <sheetName val="Encofrado_BVR_Unispan17"/>
      <sheetName val="Viguetas_36_REAL19"/>
      <sheetName val="Tiraje_Mix17"/>
      <sheetName val="Av_Sem_458"/>
      <sheetName val="Av_Sem_028"/>
      <sheetName val="EQUIPMENT_-222"/>
      <sheetName val="Encofrado_BVR_Unispan20"/>
      <sheetName val="RESUMEN_DE_COTIZACION20"/>
      <sheetName val="OBRA_CIVIL20"/>
      <sheetName val="ESTRUCTURA_DE_HORMIGON20"/>
      <sheetName val="INSTALACION_ELECTRICA20"/>
      <sheetName val="Viguetas_36_REAL22"/>
      <sheetName val="Tiraje_Mix20"/>
      <sheetName val="Av_Sem_4511"/>
      <sheetName val="Av_Sem_0211"/>
      <sheetName val="4__CORTE7"/>
      <sheetName val="EQUIPMENT_-220"/>
      <sheetName val="Encofrado_BVR_Unispan18"/>
      <sheetName val="RESUMEN_DE_COTIZACION18"/>
      <sheetName val="OBRA_CIVIL18"/>
      <sheetName val="ESTRUCTURA_DE_HORMIGON18"/>
      <sheetName val="INSTALACION_ELECTRICA18"/>
      <sheetName val="Viguetas_36_REAL20"/>
      <sheetName val="Tiraje_Mix18"/>
      <sheetName val="Av_Sem_459"/>
      <sheetName val="Av_Sem_029"/>
      <sheetName val="EQUIPMENT_-221"/>
      <sheetName val="Encofrado_BVR_Unispan19"/>
      <sheetName val="RESUMEN_DE_COTIZACION19"/>
      <sheetName val="OBRA_CIVIL19"/>
      <sheetName val="ESTRUCTURA_DE_HORMIGON19"/>
      <sheetName val="INSTALACION_ELECTRICA19"/>
      <sheetName val="Viguetas_36_REAL21"/>
      <sheetName val="Tiraje_Mix19"/>
      <sheetName val="Av_Sem_4510"/>
      <sheetName val="Av_Sem_0210"/>
      <sheetName val="EQUIPMENT_-223"/>
      <sheetName val="Encofrado_BVR_Unispan21"/>
      <sheetName val="RESUMEN_DE_COTIZACION21"/>
      <sheetName val="OBRA_CIVIL21"/>
      <sheetName val="ESTRUCTURA_DE_HORMIGON21"/>
      <sheetName val="INSTALACION_ELECTRICA21"/>
      <sheetName val="Viguetas_36_REAL23"/>
      <sheetName val="Tiraje_Mix21"/>
      <sheetName val="Av_Sem_4512"/>
      <sheetName val="Av_Sem_0212"/>
      <sheetName val="4__CORTE8"/>
      <sheetName val="Hoja de Recursos"/>
      <sheetName val="Provisionales "/>
      <sheetName val="Estructuras"/>
      <sheetName val="Arquitectura"/>
      <sheetName val="7422cw00"/>
      <sheetName val="Presup"/>
      <sheetName val="4__CORTE10"/>
      <sheetName val="APU-A__Inst__Elect_17"/>
      <sheetName val="APU-A__Inst__Elect_15"/>
      <sheetName val="4__CORTE9"/>
      <sheetName val="APU-A__Inst__Elect_16"/>
      <sheetName val="4__CORTE11"/>
      <sheetName val="Basedatos"/>
      <sheetName val="Damper"/>
      <sheetName val="Inversión"/>
      <sheetName val="Base"/>
      <sheetName val="prices"/>
      <sheetName val="liebman 134"/>
      <sheetName val="EQUIPMENT_-224"/>
      <sheetName val="RESUMEN_DE_COTIZACION22"/>
      <sheetName val="OBRA_CIVIL22"/>
      <sheetName val="ESTRUCTURA_DE_HORMIGON22"/>
      <sheetName val="INSTALACION_ELECTRICA22"/>
      <sheetName val="Encofrado_BVR_Unispan22"/>
      <sheetName val="Viguetas_36_REAL24"/>
      <sheetName val="Tiraje_Mix22"/>
      <sheetName val="Av_Sem_4513"/>
      <sheetName val="Av_Sem_0213"/>
      <sheetName val="4__CORTE12"/>
      <sheetName val="APU-A__Inst__Elect_18"/>
      <sheetName val="ANÁLISIS_GG1"/>
      <sheetName val="PRECIOS_MATERIALES"/>
      <sheetName val="G_G_"/>
      <sheetName val="4_Week_Sched"/>
      <sheetName val="PPTO_"/>
      <sheetName val="A_P_U"/>
      <sheetName val="Sol_Val"/>
      <sheetName val="Res_Val"/>
      <sheetName val="OBRAS_PROV__Y_PRELIM_"/>
      <sheetName val="EST_ESCALERAS"/>
      <sheetName val="PC-19053_RP_PURUCHUCO"/>
      <sheetName val="CUADRO_RESUMEN"/>
      <sheetName val="OBRA_GRUESA"/>
      <sheetName val="3__ITEM_IISS"/>
      <sheetName val="4__ITEM_IIEE"/>
      <sheetName val="5_ITEM_INST_MECAN"/>
      <sheetName val="VG_"/>
      <sheetName val="ESC_1"/>
      <sheetName val="Hoja_de_Recursos"/>
      <sheetName val="Provisionales_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Hoja4"/>
      <sheetName val="Accesorios"/>
      <sheetName val="Concrete"/>
      <sheetName val="CooperPipe"/>
      <sheetName val="CooperTubing"/>
      <sheetName val="Duct"/>
      <sheetName val="FRPPipe"/>
      <sheetName val="pipeHDPE"/>
      <sheetName val="PipePVC"/>
      <sheetName val="PipePVCPeru"/>
      <sheetName val="Hose"/>
      <sheetName val="SSteelPipe"/>
      <sheetName val="CS"/>
      <sheetName val="Pump Calcs"/>
      <sheetName val="Fluid"/>
      <sheetName val="Rouhness"/>
      <sheetName val="Material"/>
      <sheetName val="tank1"/>
      <sheetName val="fittings"/>
      <sheetName val="conv"/>
      <sheetName val="Personalizar"/>
      <sheetName val="PARTIDAS"/>
      <sheetName val="00-043.dat"/>
      <sheetName val="Riesgo en cambio"/>
      <sheetName val="#¡REF"/>
      <sheetName val="strsumm0"/>
      <sheetName val="pu Estructuras"/>
      <sheetName val="PRECIOS_MATERIALES1"/>
      <sheetName val="PPTO_1"/>
      <sheetName val="A_P_U1"/>
      <sheetName val="ACOSTO_EST"/>
      <sheetName val="2843 DATA"/>
      <sheetName val="O_CIVIL"/>
      <sheetName val="IIMM_LIQ"/>
      <sheetName val="PLANILA_OC"/>
      <sheetName val="liebman_134"/>
      <sheetName val="ANÁLISIS_GG5"/>
      <sheetName val="ANÁLISIS_GG2"/>
      <sheetName val="ANÁLISIS_GG3"/>
      <sheetName val="ANÁLISIS_GG4"/>
      <sheetName val="ANÁLISIS_GG6"/>
      <sheetName val="ANÁLISIS_GG7"/>
      <sheetName val="ANÁLISIS_GG8"/>
      <sheetName val="ANÁLISIS_GG9"/>
      <sheetName val="Losa Aligerada 1 Sent (JVH)"/>
      <sheetName val="RESUMEN METRADOS (2)"/>
      <sheetName val="VIGAS"/>
      <sheetName val="PRELOSA"/>
      <sheetName val="L MACIZAS"/>
      <sheetName val="PLACAS MP"/>
      <sheetName val="PLACAS EDIF"/>
      <sheetName val="Av S50"/>
      <sheetName val="Pre"/>
      <sheetName val="APU"/>
      <sheetName val="inter"/>
      <sheetName val="EQUIPMENT_-225"/>
      <sheetName val="Encofrado_BVR_Unispan23"/>
      <sheetName val="RESUMEN_DE_COTIZACION23"/>
      <sheetName val="OBRA_CIVIL23"/>
      <sheetName val="ESTRUCTURA_DE_HORMIGON23"/>
      <sheetName val="INSTALACION_ELECTRICA23"/>
      <sheetName val="Viguetas_36_REAL25"/>
      <sheetName val="Tiraje_Mix23"/>
      <sheetName val="Av_Sem_4514"/>
      <sheetName val="Av_Sem_0214"/>
      <sheetName val="4__CORTE13"/>
      <sheetName val="APU-A__Inst__Elect_19"/>
      <sheetName val="4_Week_Sched1"/>
      <sheetName val="G_G_1"/>
      <sheetName val="PPTO_2"/>
      <sheetName val="A_P_U2"/>
      <sheetName val="Sol_Val1"/>
      <sheetName val="Res_Val1"/>
      <sheetName val="OBRAS_PROV__Y_PRELIM_1"/>
      <sheetName val="EST_ESCALERAS1"/>
      <sheetName val="PC-19053_RP_PURUCHUCO1"/>
      <sheetName val="CUADRO_RESUMEN1"/>
      <sheetName val="OBRA_GRUESA1"/>
      <sheetName val="3__ITEM_IISS1"/>
      <sheetName val="4__ITEM_IIEE1"/>
      <sheetName val="5_ITEM_INST_MECAN1"/>
      <sheetName val="VG_1"/>
      <sheetName val="ESC_11"/>
      <sheetName val="Hoja_de_Recursos1"/>
      <sheetName val="Provisionales_1"/>
      <sheetName val="Cdr 9"/>
      <sheetName val="A"/>
      <sheetName val="Action Required"/>
      <sheetName val="EQUIPMENT_-226"/>
      <sheetName val="RESUMEN_DE_COTIZACION24"/>
      <sheetName val="OBRA_CIVIL24"/>
      <sheetName val="ESTRUCTURA_DE_HORMIGON24"/>
      <sheetName val="INSTALACION_ELECTRICA24"/>
      <sheetName val="Encofrado_BVR_Unispan24"/>
      <sheetName val="Viguetas_36_REAL26"/>
      <sheetName val="Tiraje_Mix24"/>
      <sheetName val="Av_Sem_4515"/>
      <sheetName val="Av_Sem_0215"/>
      <sheetName val="4__CORTE14"/>
      <sheetName val="APU-A__Inst__Elect_110"/>
      <sheetName val="ANÁLISIS_GG10"/>
      <sheetName val="PPTO_3"/>
      <sheetName val="A_P_U3"/>
      <sheetName val="PRECIOS_MATERIALES2"/>
      <sheetName val="4_Week_Sched2"/>
      <sheetName val="Sol_Val2"/>
      <sheetName val="Res_Val2"/>
      <sheetName val="OBRAS_PROV__Y_PRELIM_2"/>
      <sheetName val="EST_ESCALERAS2"/>
      <sheetName val="PC-19053_RP_PURUCHUCO2"/>
      <sheetName val="G_G_2"/>
      <sheetName val="CUADRO_RESUMEN2"/>
      <sheetName val="OBRA_GRUESA2"/>
      <sheetName val="3__ITEM_IISS2"/>
      <sheetName val="4__ITEM_IIEE2"/>
      <sheetName val="5_ITEM_INST_MECAN2"/>
      <sheetName val="VG_2"/>
      <sheetName val="ESC_12"/>
      <sheetName val="Hoja_de_Recursos2"/>
      <sheetName val="Provisionales_2"/>
      <sheetName val="liebman_1341"/>
      <sheetName val="O_CIVIL1"/>
      <sheetName val="IIMM_LIQ1"/>
      <sheetName val="PLANILA_OC1"/>
      <sheetName val="Pump_Calcs"/>
      <sheetName val="00-043_dat"/>
      <sheetName val="Riesgo_en_cambio"/>
      <sheetName val="pu_Estructuras"/>
      <sheetName val="2843_DATA"/>
      <sheetName val="Losa_Aligerada_1_Sent_(JVH)"/>
      <sheetName val="RESUMEN_METRADOS_(2)"/>
      <sheetName val="L_MACIZAS"/>
      <sheetName val="PLACAS_MP"/>
      <sheetName val="PLACAS_EDIF"/>
      <sheetName val="Av_S50"/>
      <sheetName val="Cdr_9"/>
      <sheetName val="Action_Required"/>
      <sheetName val="METRADO"/>
      <sheetName val="EQUIPMENT_-227"/>
      <sheetName val="Encofrado_BVR_Unispan25"/>
      <sheetName val="RESUMEN_DE_COTIZACION25"/>
      <sheetName val="OBRA_CIVIL25"/>
      <sheetName val="ESTRUCTURA_DE_HORMIGON25"/>
      <sheetName val="INSTALACION_ELECTRICA25"/>
      <sheetName val="Viguetas_36_REAL27"/>
      <sheetName val="Tiraje_Mix25"/>
      <sheetName val="Av_Sem_4516"/>
      <sheetName val="Av_Sem_0216"/>
      <sheetName val="4__CORTE15"/>
      <sheetName val="APU-A__Inst__Elect_111"/>
      <sheetName val="4_Week_Sched3"/>
      <sheetName val="PRECIOS_MATERIALES3"/>
      <sheetName val="PPTO_4"/>
      <sheetName val="A_P_U4"/>
      <sheetName val="Sol_Val3"/>
      <sheetName val="Res_Val3"/>
      <sheetName val="OBRAS_PROV__Y_PRELIM_3"/>
      <sheetName val="EST_ESCALERAS3"/>
      <sheetName val="PC-19053_RP_PURUCHUCO3"/>
      <sheetName val="CUADRO_RESUMEN3"/>
      <sheetName val="OBRA_GRUESA3"/>
      <sheetName val="3__ITEM_IISS3"/>
      <sheetName val="4__ITEM_IIEE3"/>
      <sheetName val="5_ITEM_INST_MECAN3"/>
      <sheetName val="VG_3"/>
      <sheetName val="ESC_13"/>
      <sheetName val="G_G_3"/>
      <sheetName val="Hoja_de_Recursos3"/>
      <sheetName val="Provisionales_3"/>
      <sheetName val="EQUIPMENT_-228"/>
      <sheetName val="RESUMEN_DE_COTIZACION26"/>
      <sheetName val="OBRA_CIVIL26"/>
      <sheetName val="ESTRUCTURA_DE_HORMIGON26"/>
      <sheetName val="INSTALACION_ELECTRICA26"/>
      <sheetName val="Encofrado_BVR_Unispan26"/>
      <sheetName val="Viguetas_36_REAL28"/>
      <sheetName val="Tiraje_Mix26"/>
      <sheetName val="Av_Sem_4517"/>
      <sheetName val="Av_Sem_0217"/>
      <sheetName val="4__CORTE16"/>
      <sheetName val="APU-A__Inst__Elect_112"/>
      <sheetName val="ANÁLISIS_GG11"/>
      <sheetName val="PPTO_5"/>
      <sheetName val="A_P_U5"/>
      <sheetName val="PRECIOS_MATERIALES4"/>
      <sheetName val="4_Week_Sched4"/>
      <sheetName val="Sol_Val4"/>
      <sheetName val="Res_Val4"/>
      <sheetName val="OBRAS_PROV__Y_PRELIM_4"/>
      <sheetName val="EST_ESCALERAS4"/>
      <sheetName val="PC-19053_RP_PURUCHUCO4"/>
      <sheetName val="G_G_4"/>
      <sheetName val="CUADRO_RESUMEN4"/>
      <sheetName val="OBRA_GRUESA4"/>
      <sheetName val="3__ITEM_IISS4"/>
      <sheetName val="4__ITEM_IIEE4"/>
      <sheetName val="5_ITEM_INST_MECAN4"/>
      <sheetName val="VG_4"/>
      <sheetName val="ESC_14"/>
      <sheetName val="Hoja_de_Recursos4"/>
      <sheetName val="Provisionales_4"/>
      <sheetName val="liebman_1342"/>
      <sheetName val="O_CIVIL2"/>
      <sheetName val="IIMM_LIQ2"/>
      <sheetName val="PLANILA_OC2"/>
      <sheetName val="Pump_Calcs1"/>
      <sheetName val="00-043_dat1"/>
      <sheetName val="Riesgo_en_cambio1"/>
      <sheetName val="pu_Estructuras1"/>
      <sheetName val="2843_DATA1"/>
      <sheetName val="Losa_Aligerada_1_Sent_(JVH)1"/>
      <sheetName val="RESUMEN_METRADOS_(2)1"/>
      <sheetName val="L_MACIZAS1"/>
      <sheetName val="PLACAS_MP1"/>
      <sheetName val="PLACAS_EDIF1"/>
      <sheetName val="Av_S501"/>
      <sheetName val="Cdr_91"/>
      <sheetName val="Action_Required1"/>
      <sheetName val="EQUIPMENT_-230"/>
      <sheetName val="RESUMEN_DE_COTIZACION28"/>
      <sheetName val="OBRA_CIVIL28"/>
      <sheetName val="ESTRUCTURA_DE_HORMIGON28"/>
      <sheetName val="INSTALACION_ELECTRICA28"/>
      <sheetName val="Encofrado_BVR_Unispan28"/>
      <sheetName val="Viguetas_36_REAL30"/>
      <sheetName val="Tiraje_Mix28"/>
      <sheetName val="Av_Sem_4519"/>
      <sheetName val="Av_Sem_0219"/>
      <sheetName val="4__CORTE18"/>
      <sheetName val="APU-A__Inst__Elect_114"/>
      <sheetName val="PPTO_6"/>
      <sheetName val="A_P_U6"/>
      <sheetName val="G_G_6"/>
      <sheetName val="4_Week_Sched6"/>
      <sheetName val="PRECIOS_MATERIALES6"/>
      <sheetName val="CUADRO_RESUMEN6"/>
      <sheetName val="OBRA_GRUESA6"/>
      <sheetName val="3__ITEM_IISS6"/>
      <sheetName val="4__ITEM_IIEE6"/>
      <sheetName val="5_ITEM_INST_MECAN6"/>
      <sheetName val="VG_6"/>
      <sheetName val="ESC_16"/>
      <sheetName val="Sol_Val6"/>
      <sheetName val="Res_Val6"/>
      <sheetName val="OBRAS_PROV__Y_PRELIM_6"/>
      <sheetName val="EST_ESCALERAS6"/>
      <sheetName val="PC-19053_RP_PURUCHUCO6"/>
      <sheetName val="Hoja_de_Recursos6"/>
      <sheetName val="Provisionales_6"/>
      <sheetName val="EQUIPMENT_-229"/>
      <sheetName val="RESUMEN_DE_COTIZACION27"/>
      <sheetName val="OBRA_CIVIL27"/>
      <sheetName val="ESTRUCTURA_DE_HORMIGON27"/>
      <sheetName val="INSTALACION_ELECTRICA27"/>
      <sheetName val="Encofrado_BVR_Unispan27"/>
      <sheetName val="Viguetas_36_REAL29"/>
      <sheetName val="Tiraje_Mix27"/>
      <sheetName val="Av_Sem_4518"/>
      <sheetName val="Av_Sem_0218"/>
      <sheetName val="4__CORTE17"/>
      <sheetName val="APU-A__Inst__Elect_113"/>
      <sheetName val="G_G_5"/>
      <sheetName val="4_Week_Sched5"/>
      <sheetName val="PRECIOS_MATERIALES5"/>
      <sheetName val="CUADRO_RESUMEN5"/>
      <sheetName val="OBRA_GRUESA5"/>
      <sheetName val="3__ITEM_IISS5"/>
      <sheetName val="4__ITEM_IIEE5"/>
      <sheetName val="5_ITEM_INST_MECAN5"/>
      <sheetName val="VG_5"/>
      <sheetName val="ESC_15"/>
      <sheetName val="Sol_Val5"/>
      <sheetName val="Res_Val5"/>
      <sheetName val="OBRAS_PROV__Y_PRELIM_5"/>
      <sheetName val="EST_ESCALERAS5"/>
      <sheetName val="PC-19053_RP_PURUCHUCO5"/>
      <sheetName val="Hoja_de_Recursos5"/>
      <sheetName val="Provisionales_5"/>
      <sheetName val="EQUIPMENT_-231"/>
      <sheetName val="RESUMEN_DE_COTIZACION29"/>
      <sheetName val="OBRA_CIVIL29"/>
      <sheetName val="ESTRUCTURA_DE_HORMIGON29"/>
      <sheetName val="INSTALACION_ELECTRICA29"/>
      <sheetName val="Encofrado_BVR_Unispan29"/>
      <sheetName val="Viguetas_36_REAL31"/>
      <sheetName val="Tiraje_Mix29"/>
      <sheetName val="Av_Sem_4520"/>
      <sheetName val="Av_Sem_0220"/>
      <sheetName val="4__CORTE19"/>
      <sheetName val="APU-A__Inst__Elect_115"/>
      <sheetName val="PPTO_7"/>
      <sheetName val="A_P_U7"/>
      <sheetName val="G_G_7"/>
      <sheetName val="4_Week_Sched7"/>
      <sheetName val="PRECIOS_MATERIALES7"/>
      <sheetName val="CUADRO_RESUMEN7"/>
      <sheetName val="OBRA_GRUESA7"/>
      <sheetName val="3__ITEM_IISS7"/>
      <sheetName val="4__ITEM_IIEE7"/>
      <sheetName val="5_ITEM_INST_MECAN7"/>
      <sheetName val="VG_7"/>
      <sheetName val="ESC_17"/>
      <sheetName val="Sol_Val7"/>
      <sheetName val="Res_Val7"/>
      <sheetName val="OBRAS_PROV__Y_PRELIM_7"/>
      <sheetName val="EST_ESCALERAS7"/>
      <sheetName val="PC-19053_RP_PURUCHUCO7"/>
      <sheetName val="Hoja_de_Recursos7"/>
      <sheetName val="Provisionales_7"/>
      <sheetName val="EQUIPMENT_-232"/>
      <sheetName val="RESUMEN_DE_COTIZACION30"/>
      <sheetName val="OBRA_CIVIL30"/>
      <sheetName val="ESTRUCTURA_DE_HORMIGON30"/>
      <sheetName val="INSTALACION_ELECTRICA30"/>
      <sheetName val="Encofrado_BVR_Unispan30"/>
      <sheetName val="Viguetas_36_REAL32"/>
      <sheetName val="Tiraje_Mix30"/>
      <sheetName val="Av_Sem_4521"/>
      <sheetName val="Av_Sem_0221"/>
      <sheetName val="4__CORTE20"/>
      <sheetName val="APU-A__Inst__Elect_116"/>
      <sheetName val="PPTO_8"/>
      <sheetName val="A_P_U8"/>
      <sheetName val="G_G_8"/>
      <sheetName val="4_Week_Sched8"/>
      <sheetName val="PRECIOS_MATERIALES8"/>
      <sheetName val="CUADRO_RESUMEN8"/>
      <sheetName val="OBRA_GRUESA8"/>
      <sheetName val="3__ITEM_IISS8"/>
      <sheetName val="4__ITEM_IIEE8"/>
      <sheetName val="5_ITEM_INST_MECAN8"/>
      <sheetName val="VG_8"/>
      <sheetName val="ESC_18"/>
      <sheetName val="Sol_Val8"/>
      <sheetName val="Res_Val8"/>
      <sheetName val="OBRAS_PROV__Y_PRELIM_8"/>
      <sheetName val="EST_ESCALERAS8"/>
      <sheetName val="PC-19053_RP_PURUCHUCO8"/>
      <sheetName val="Hoja_de_Recursos8"/>
      <sheetName val="Provisionales_8"/>
      <sheetName val="EQUIPMENT_-233"/>
      <sheetName val="RESUMEN_DE_COTIZACION31"/>
      <sheetName val="OBRA_CIVIL31"/>
      <sheetName val="ESTRUCTURA_DE_HORMIGON31"/>
      <sheetName val="INSTALACION_ELECTRICA31"/>
      <sheetName val="Encofrado_BVR_Unispan31"/>
      <sheetName val="Viguetas_36_REAL33"/>
      <sheetName val="Tiraje_Mix31"/>
      <sheetName val="Av_Sem_4522"/>
      <sheetName val="Av_Sem_0222"/>
      <sheetName val="4__CORTE21"/>
      <sheetName val="APU-A__Inst__Elect_117"/>
      <sheetName val="PPTO_9"/>
      <sheetName val="A_P_U9"/>
      <sheetName val="G_G_9"/>
      <sheetName val="4_Week_Sched9"/>
      <sheetName val="PRECIOS_MATERIALES9"/>
      <sheetName val="CUADRO_RESUMEN9"/>
      <sheetName val="OBRA_GRUESA9"/>
      <sheetName val="3__ITEM_IISS9"/>
      <sheetName val="4__ITEM_IIEE9"/>
      <sheetName val="5_ITEM_INST_MECAN9"/>
      <sheetName val="VG_9"/>
      <sheetName val="ESC_19"/>
      <sheetName val="Sol_Val9"/>
      <sheetName val="Res_Val9"/>
      <sheetName val="OBRAS_PROV__Y_PRELIM_9"/>
      <sheetName val="EST_ESCALERAS9"/>
      <sheetName val="PC-19053_RP_PURUCHUCO9"/>
      <sheetName val="Hoja_de_Recursos9"/>
      <sheetName val="Provisionales_9"/>
      <sheetName val="EQUIPMENT_-234"/>
      <sheetName val="RESUMEN_DE_COTIZACION32"/>
      <sheetName val="OBRA_CIVIL32"/>
      <sheetName val="ESTRUCTURA_DE_HORMIGON32"/>
      <sheetName val="INSTALACION_ELECTRICA32"/>
      <sheetName val="Encofrado_BVR_Unispan32"/>
      <sheetName val="Viguetas_36_REAL34"/>
      <sheetName val="Tiraje_Mix32"/>
      <sheetName val="Av_Sem_4523"/>
      <sheetName val="Av_Sem_0223"/>
      <sheetName val="4__CORTE22"/>
      <sheetName val="APU-A__Inst__Elect_118"/>
      <sheetName val="PPTO_10"/>
      <sheetName val="A_P_U10"/>
      <sheetName val="G_G_10"/>
      <sheetName val="4_Week_Sched10"/>
      <sheetName val="PRECIOS_MATERIALES10"/>
      <sheetName val="CUADRO_RESUMEN10"/>
      <sheetName val="OBRA_GRUESA10"/>
      <sheetName val="3__ITEM_IISS10"/>
      <sheetName val="4__ITEM_IIEE10"/>
      <sheetName val="5_ITEM_INST_MECAN10"/>
      <sheetName val="VG_10"/>
      <sheetName val="ESC_110"/>
      <sheetName val="Sol_Val10"/>
      <sheetName val="Res_Val10"/>
      <sheetName val="OBRAS_PROV__Y_PRELIM_10"/>
      <sheetName val="EST_ESCALERAS10"/>
      <sheetName val="PC-19053_RP_PURUCHUCO10"/>
      <sheetName val="Hoja_de_Recursos10"/>
      <sheetName val="Provisionales_10"/>
      <sheetName val="EQUIPMENT_-235"/>
      <sheetName val="RESUMEN_DE_COTIZACION33"/>
      <sheetName val="OBRA_CIVIL33"/>
      <sheetName val="ESTRUCTURA_DE_HORMIGON33"/>
      <sheetName val="INSTALACION_ELECTRICA33"/>
      <sheetName val="Encofrado_BVR_Unispan33"/>
      <sheetName val="Viguetas_36_REAL35"/>
      <sheetName val="Tiraje_Mix33"/>
      <sheetName val="Av_Sem_4524"/>
      <sheetName val="Av_Sem_0224"/>
      <sheetName val="4__CORTE23"/>
      <sheetName val="APU-A__Inst__Elect_119"/>
      <sheetName val="PPTO_11"/>
      <sheetName val="A_P_U11"/>
      <sheetName val="G_G_11"/>
      <sheetName val="ANÁLISIS_GG12"/>
      <sheetName val="4_Week_Sched11"/>
      <sheetName val="PRECIOS_MATERIALES11"/>
      <sheetName val="CUADRO_RESUMEN11"/>
      <sheetName val="OBRA_GRUESA11"/>
      <sheetName val="3__ITEM_IISS11"/>
      <sheetName val="4__ITEM_IIEE11"/>
      <sheetName val="5_ITEM_INST_MECAN11"/>
      <sheetName val="VG_11"/>
      <sheetName val="ESC_111"/>
      <sheetName val="Sol_Val11"/>
      <sheetName val="Res_Val11"/>
      <sheetName val="OBRAS_PROV__Y_PRELIM_11"/>
      <sheetName val="EST_ESCALERAS11"/>
      <sheetName val="PC-19053_RP_PURUCHUCO11"/>
      <sheetName val="Hoja_de_Recursos11"/>
      <sheetName val="Provisionales_11"/>
      <sheetName val="EQUIPMENT_-236"/>
      <sheetName val="Encofrado_BVR_Unispan34"/>
      <sheetName val="RESUMEN_DE_COTIZACION34"/>
      <sheetName val="OBRA_CIVIL34"/>
      <sheetName val="ESTRUCTURA_DE_HORMIGON34"/>
      <sheetName val="INSTALACION_ELECTRICA34"/>
      <sheetName val="Viguetas_36_REAL36"/>
      <sheetName val="Tiraje_Mix34"/>
      <sheetName val="Av_Sem_4525"/>
      <sheetName val="Av_Sem_0225"/>
      <sheetName val="4__CORTE24"/>
      <sheetName val="APU-A__Inst__Elect_120"/>
      <sheetName val="ANÁLISIS_GG13"/>
      <sheetName val="4_Week_Sched12"/>
      <sheetName val="PRECIOS_MATERIALES12"/>
      <sheetName val="G_G_12"/>
      <sheetName val="PPTO_12"/>
      <sheetName val="A_P_U12"/>
      <sheetName val="Sol_Val12"/>
      <sheetName val="Res_Val12"/>
      <sheetName val="OBRAS_PROV__Y_PRELIM_12"/>
      <sheetName val="EST_ESCALERAS12"/>
      <sheetName val="PC-19053_RP_PURUCHUCO12"/>
      <sheetName val="CUADRO_RESUMEN12"/>
      <sheetName val="OBRA_GRUESA12"/>
      <sheetName val="3__ITEM_IISS12"/>
      <sheetName val="4__ITEM_IIEE12"/>
      <sheetName val="5_ITEM_INST_MECAN12"/>
      <sheetName val="VG_12"/>
      <sheetName val="ESC_112"/>
      <sheetName val="Hoja_de_Recursos12"/>
      <sheetName val="Provisionales_12"/>
      <sheetName val="liebman_1343"/>
      <sheetName val="EQUIPMENT_-237"/>
      <sheetName val="Encofrado_BVR_Unispan35"/>
      <sheetName val="RESUMEN_DE_COTIZACION35"/>
      <sheetName val="OBRA_CIVIL35"/>
      <sheetName val="ESTRUCTURA_DE_HORMIGON35"/>
      <sheetName val="INSTALACION_ELECTRICA35"/>
      <sheetName val="Viguetas_36_REAL37"/>
      <sheetName val="Tiraje_Mix35"/>
      <sheetName val="Av_Sem_4526"/>
      <sheetName val="Av_Sem_0226"/>
      <sheetName val="4__CORTE25"/>
      <sheetName val="APU-A__Inst__Elect_121"/>
      <sheetName val="ANÁLISIS_GG14"/>
      <sheetName val="4_Week_Sched13"/>
      <sheetName val="PRECIOS_MATERIALES13"/>
      <sheetName val="G_G_13"/>
      <sheetName val="PPTO_13"/>
      <sheetName val="A_P_U13"/>
      <sheetName val="Sol_Val13"/>
      <sheetName val="Res_Val13"/>
      <sheetName val="OBRAS_PROV__Y_PRELIM_13"/>
      <sheetName val="EST_ESCALERAS13"/>
      <sheetName val="PC-19053_RP_PURUCHUCO13"/>
      <sheetName val="CUADRO_RESUMEN13"/>
      <sheetName val="OBRA_GRUESA13"/>
      <sheetName val="3__ITEM_IISS13"/>
      <sheetName val="4__ITEM_IIEE13"/>
      <sheetName val="5_ITEM_INST_MECAN13"/>
      <sheetName val="VG_13"/>
      <sheetName val="ESC_113"/>
      <sheetName val="Hoja_de_Recursos13"/>
      <sheetName val="Provisionales_13"/>
      <sheetName val="liebman_1344"/>
      <sheetName val="MATRIZ"/>
      <sheetName val="EQUIPMENT_-238"/>
      <sheetName val="Encofrado_BVR_Unispan36"/>
      <sheetName val="RESUMEN_DE_COTIZACION36"/>
      <sheetName val="OBRA_CIVIL36"/>
      <sheetName val="ESTRUCTURA_DE_HORMIGON36"/>
      <sheetName val="INSTALACION_ELECTRICA36"/>
      <sheetName val="Viguetas_36_REAL38"/>
      <sheetName val="Tiraje_Mix36"/>
      <sheetName val="Av_Sem_4527"/>
      <sheetName val="Av_Sem_0227"/>
      <sheetName val="4__CORTE26"/>
      <sheetName val="APU-A__Inst__Elect_122"/>
      <sheetName val="ANÁLISIS_GG15"/>
      <sheetName val="4_Week_Sched14"/>
      <sheetName val="G_G_14"/>
      <sheetName val="PRECIOS_MATERIALES14"/>
      <sheetName val="PPTO_14"/>
      <sheetName val="A_P_U14"/>
      <sheetName val="Sol_Val14"/>
      <sheetName val="Res_Val14"/>
      <sheetName val="OBRAS_PROV__Y_PRELIM_14"/>
      <sheetName val="EST_ESCALERAS14"/>
      <sheetName val="PC-19053_RP_PURUCHUCO14"/>
      <sheetName val="CUADRO_RESUMEN14"/>
      <sheetName val="OBRA_GRUESA14"/>
      <sheetName val="3__ITEM_IISS14"/>
      <sheetName val="4__ITEM_IIEE14"/>
      <sheetName val="5_ITEM_INST_MECAN14"/>
      <sheetName val="VG_14"/>
      <sheetName val="ESC_114"/>
      <sheetName val="Hoja_de_Recursos14"/>
      <sheetName val="Provisionales_14"/>
      <sheetName val="liebman_1345"/>
      <sheetName val="Pump_Calcs2"/>
      <sheetName val="00-043_dat2"/>
      <sheetName val="Riesgo_en_cambio2"/>
      <sheetName val="pu_Estructuras2"/>
      <sheetName val="1. Time &amp; Esc"/>
      <sheetName val="Input"/>
      <sheetName val="Fcst"/>
      <sheetName val="7 &amp; 8A. SandU"/>
      <sheetName val="2&amp;3 AeroRevs"/>
      <sheetName val="4. Non-AeroRevs"/>
      <sheetName val="IARyPD"/>
      <sheetName val="1"/>
      <sheetName val="pu_Estructuras3"/>
      <sheetName val="O_CIVIL3"/>
      <sheetName val="IIMM_LIQ3"/>
      <sheetName val="PLANILA_OC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 refreshError="1"/>
      <sheetData sheetId="143" refreshError="1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 refreshError="1"/>
      <sheetData sheetId="208"/>
      <sheetData sheetId="209"/>
      <sheetData sheetId="210"/>
      <sheetData sheetId="211"/>
      <sheetData sheetId="212" refreshError="1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 refreshError="1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 refreshError="1"/>
      <sheetData sheetId="301" refreshError="1"/>
      <sheetData sheetId="302"/>
      <sheetData sheetId="303"/>
      <sheetData sheetId="304"/>
      <sheetData sheetId="305"/>
      <sheetData sheetId="306"/>
      <sheetData sheetId="307"/>
      <sheetData sheetId="308" refreshError="1"/>
      <sheetData sheetId="309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 refreshError="1"/>
      <sheetData sheetId="345" refreshError="1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 refreshError="1"/>
      <sheetData sheetId="383"/>
      <sheetData sheetId="384"/>
      <sheetData sheetId="385"/>
      <sheetData sheetId="386" refreshError="1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 refreshError="1"/>
      <sheetData sheetId="407" refreshError="1"/>
      <sheetData sheetId="408" refreshError="1"/>
      <sheetData sheetId="409" refreshError="1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 refreshError="1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 refreshError="1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 refreshError="1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/>
      <sheetData sheetId="902"/>
      <sheetData sheetId="903"/>
      <sheetData sheetId="90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 DE PROPUESTA"/>
      <sheetName val="Arquitectura"/>
      <sheetName val="Estructuras"/>
      <sheetName val="Electrica"/>
      <sheetName val="Sanitaria"/>
      <sheetName val="Mecanica"/>
      <sheetName val="PU arquitectura"/>
      <sheetName val="pu Estructuras"/>
      <sheetName val="PU electricas"/>
      <sheetName val="PU sanitarias"/>
      <sheetName val="puni"/>
      <sheetName val="Rec"/>
      <sheetName val="#¡REF"/>
      <sheetName val="GENERAL"/>
      <sheetName val="ANALISIS "/>
      <sheetName val="RESUMEN_DE_PROPUESTA4"/>
      <sheetName val="PU_arquitectura4"/>
      <sheetName val="pu_Estructuras4"/>
      <sheetName val="PU_electricas4"/>
      <sheetName val="PU_sanitarias4"/>
      <sheetName val="RESUMEN_DE_PROPUESTA"/>
      <sheetName val="PU_arquitectura"/>
      <sheetName val="pu_Estructuras"/>
      <sheetName val="PU_electricas"/>
      <sheetName val="PU_sanitarias"/>
      <sheetName val="RESUMEN_DE_PROPUESTA1"/>
      <sheetName val="PU_arquitectura1"/>
      <sheetName val="pu_Estructuras1"/>
      <sheetName val="PU_electricas1"/>
      <sheetName val="PU_sanitarias1"/>
      <sheetName val="RESUMEN_DE_PROPUESTA2"/>
      <sheetName val="PU_arquitectura2"/>
      <sheetName val="pu_Estructuras2"/>
      <sheetName val="PU_electricas2"/>
      <sheetName val="PU_sanitarias2"/>
      <sheetName val="RESUMEN_DE_PROPUESTA3"/>
      <sheetName val="PU_arquitectura3"/>
      <sheetName val="pu_Estructuras3"/>
      <sheetName val="PU_electricas3"/>
      <sheetName val="PU_sanitarias3"/>
      <sheetName val="RESUMEN_DE_PROPUESTA8"/>
      <sheetName val="PU_arquitectura8"/>
      <sheetName val="pu_Estructuras8"/>
      <sheetName val="PU_electricas8"/>
      <sheetName val="PU_sanitarias8"/>
      <sheetName val="RESUMEN_DE_PROPUESTA5"/>
      <sheetName val="PU_arquitectura5"/>
      <sheetName val="pu_Estructuras5"/>
      <sheetName val="PU_electricas5"/>
      <sheetName val="PU_sanitarias5"/>
      <sheetName val="RESUMEN_DE_PROPUESTA6"/>
      <sheetName val="PU_arquitectura6"/>
      <sheetName val="pu_Estructuras6"/>
      <sheetName val="PU_electricas6"/>
      <sheetName val="PU_sanitarias6"/>
      <sheetName val="RESUMEN_DE_PROPUESTA7"/>
      <sheetName val="PU_arquitectura7"/>
      <sheetName val="pu_Estructuras7"/>
      <sheetName val="PU_electricas7"/>
      <sheetName val="PU_sanitarias7"/>
      <sheetName val="RESUMEN_DE_PROPUESTA9"/>
      <sheetName val="PU_arquitectura9"/>
      <sheetName val="pu_Estructuras9"/>
      <sheetName val="PU_electricas9"/>
      <sheetName val="PU_sanitarias9"/>
      <sheetName val="ANALISIS_"/>
      <sheetName val="Arq_01"/>
      <sheetName val="Arq_02"/>
      <sheetName val="Partidas_arq"/>
      <sheetName val="Con_Simple"/>
      <sheetName val="Estr_01"/>
      <sheetName val="BASES"/>
      <sheetName val="Salary Schedules"/>
      <sheetName val="ECC"/>
      <sheetName val="RESUMEN_DE_PROPUESTA10"/>
      <sheetName val="PU_arquitectura10"/>
      <sheetName val="pu_Estructuras10"/>
      <sheetName val="PU_electricas10"/>
      <sheetName val="PU_sanitarias10"/>
      <sheetName val="RESUMEN_DE_PROPUESTA11"/>
      <sheetName val="PU_arquitectura11"/>
      <sheetName val="pu_Estructuras11"/>
      <sheetName val="PU_electricas11"/>
      <sheetName val="PU_sanitarias11"/>
      <sheetName val="ANALISIS_1"/>
      <sheetName val="RESUMEN"/>
      <sheetName val="PPTO"/>
      <sheetName val="G.G."/>
      <sheetName val="METRADOS ESTRUCTURAS B-1"/>
      <sheetName val="CONTROL PRESUPUESTAL"/>
      <sheetName val="Contratado"/>
      <sheetName val="Facturado"/>
      <sheetName val="Cotizado"/>
      <sheetName val="Estimacion - CBS"/>
      <sheetName val="Estimacion - Resumen"/>
      <sheetName val="OP."/>
      <sheetName val="Aqr."/>
      <sheetName val="II.SS"/>
      <sheetName val="ESTRUC."/>
      <sheetName val="II.EE"/>
      <sheetName val="GG"/>
      <sheetName val="CONSIDERACIONES"/>
      <sheetName val="Hoja2"/>
      <sheetName val="Programa de Áreas"/>
      <sheetName val="Estimacion - CBS (2)"/>
      <sheetName val="Cartas Recibidas"/>
      <sheetName val="Cartas Enviadas"/>
      <sheetName val="Actas Emitidas"/>
      <sheetName val="Descripción de Subcomponentes"/>
      <sheetName val="G"/>
      <sheetName val="ANÁLISIS GG"/>
      <sheetName val="Tuberia"/>
      <sheetName val="Hoja1"/>
      <sheetName val="Damper"/>
      <sheetName val="Liebman 134"/>
      <sheetName val="WEEKBASE"/>
      <sheetName val="Carátula Principal"/>
      <sheetName val="Índice"/>
      <sheetName val="1.0 Car FT"/>
      <sheetName val="1.0 FT"/>
      <sheetName val="2.0 Car RF"/>
      <sheetName val="2.0 RF"/>
      <sheetName val="3.0 Car RE"/>
      <sheetName val="3.0 Res. Ejecutivo"/>
      <sheetName val="4.0 Car P y L"/>
      <sheetName val="4.0 Permisos y Licencias"/>
      <sheetName val="5.0 Car EC"/>
      <sheetName val="5.0 Estado Economico"/>
      <sheetName val="5.1 Car MI"/>
      <sheetName val="5.1 M Inversión"/>
      <sheetName val="5.2 Car CC"/>
      <sheetName val="5.2 FCC"/>
      <sheetName val="6.0 Car EF"/>
      <sheetName val="6.0 Estado Financiero"/>
      <sheetName val="6.1 Car SP"/>
      <sheetName val="6.1. Situacion de pagos"/>
      <sheetName val="6.2 Car G"/>
      <sheetName val="6.2 Garantias"/>
      <sheetName val="7.0 Car PP"/>
      <sheetName val="7.1 Car Diag Gantt"/>
      <sheetName val="7.1 Diag Gantt"/>
      <sheetName val="8.0 Car Curva S "/>
      <sheetName val="8.1 Res-S-Integral"/>
      <sheetName val="8.1 S Integral"/>
      <sheetName val="8.2 S-Contratistas"/>
      <sheetName val="8.3 Equipos"/>
      <sheetName val="9.0 Car CEM"/>
      <sheetName val="9.0 SCEM"/>
      <sheetName val="10.0 Car Procuras"/>
      <sheetName val="10.0 Seg Procu Imp"/>
      <sheetName val="11.0 Car SSOMA"/>
      <sheetName val="10.0 Rep. de Seguridad"/>
      <sheetName val="10.01 Histograma de obra"/>
      <sheetName val="12.0 Car MdC"/>
      <sheetName val="12.0 Matriz de Contacto"/>
      <sheetName val="Avance financiero"/>
      <sheetName val="N°1"/>
      <sheetName val="N°10"/>
      <sheetName val="N°2"/>
      <sheetName val="N°3"/>
      <sheetName val="N°4"/>
      <sheetName val="N°5"/>
      <sheetName val="N°6"/>
      <sheetName val="N°7"/>
      <sheetName val="N°8"/>
      <sheetName val="N°9"/>
      <sheetName val="Metrados Fabricacion"/>
      <sheetName val="EST"/>
      <sheetName val="Columnas de  Cerco"/>
      <sheetName val="Losa postensado h= 0.20"/>
      <sheetName val="Base de Equipos"/>
      <sheetName val="LOSA DE PISO E= 0"/>
      <sheetName val="Escalera"/>
      <sheetName val="Columnas "/>
      <sheetName val="Muros de Cerco"/>
      <sheetName val="Placas"/>
      <sheetName val="Muros de Contencion"/>
      <sheetName val="Cajuelas"/>
      <sheetName val="Muros Pantalla "/>
      <sheetName val="Sobrecimientos"/>
      <sheetName val="Cimiento Corrido"/>
      <sheetName val="Cisterna-01"/>
      <sheetName val="V.C "/>
      <sheetName val="Calzadura"/>
      <sheetName val="Vigas y Cortes"/>
      <sheetName val="Cimentacion Armada"/>
      <sheetName val="VIGAS DE AMARRE Y DINTELES"/>
      <sheetName val="Relleno Rampa"/>
      <sheetName val="Excavaciones"/>
      <sheetName val="Viguetas Firth"/>
      <sheetName val="Zapatas"/>
      <sheetName val="VARIOS"/>
      <sheetName val="B. equipos"/>
      <sheetName val="Juntas"/>
      <sheetName val="Sol.Val"/>
      <sheetName val="Res.Val"/>
      <sheetName val="OBRAS PROV. Y PRELIM."/>
      <sheetName val="EST ESCALERAS"/>
      <sheetName val="PC-19053 RP PURUCHUCO"/>
      <sheetName val="RESUMEN_DE_PROPUESTA12"/>
      <sheetName val="PU_arquitectura12"/>
      <sheetName val="pu_Estructuras12"/>
      <sheetName val="PU_electricas12"/>
      <sheetName val="PU_sanitarias12"/>
      <sheetName val="ANALISIS_2"/>
      <sheetName val="Salary_Schedules"/>
      <sheetName val="Comp. IIEE - General"/>
      <sheetName val="Caracteristicas Técnicas"/>
      <sheetName val="COMPARATIVO INCL. TABLEROS"/>
      <sheetName val="TABLEROS"/>
      <sheetName val="Comparativo económico"/>
      <sheetName val="Análisis de Valor"/>
      <sheetName val="CABASU"/>
      <sheetName val="VEPESA"/>
      <sheetName val="AWG"/>
      <sheetName val="Unit-op-cartel"/>
      <sheetName val="Hoja de Recursos"/>
      <sheetName val="Provisionales "/>
      <sheetName val="CCcosto"/>
      <sheetName val="PlanCta07"/>
      <sheetName val="RESUMEN_DE_PROPUESTA17"/>
      <sheetName val="PU_arquitectura17"/>
      <sheetName val="pu_Estructuras17"/>
      <sheetName val="PU_electricas17"/>
      <sheetName val="PU_sanitarias17"/>
      <sheetName val="ANALISIS_7"/>
      <sheetName val="Salary_Schedules5"/>
      <sheetName val="Metrados_Fabricacion5"/>
      <sheetName val="Liebman_1345"/>
      <sheetName val="METRADOS_ESTRUCTURAS_B-15"/>
      <sheetName val="Columnas_de__Cerco5"/>
      <sheetName val="Losa_postensado_h=_0_205"/>
      <sheetName val="Base_de_Equipos5"/>
      <sheetName val="LOSA_DE_PISO_E=_05"/>
      <sheetName val="Columnas_5"/>
      <sheetName val="Muros_de_Cerco5"/>
      <sheetName val="Muros_de_Contencion5"/>
      <sheetName val="Muros_Pantalla_5"/>
      <sheetName val="Cimiento_Corrido5"/>
      <sheetName val="V_C_5"/>
      <sheetName val="Vigas_y_Cortes5"/>
      <sheetName val="Cimentacion_Armada5"/>
      <sheetName val="VIGAS_DE_AMARRE_Y_DINTELES5"/>
      <sheetName val="Relleno_Rampa5"/>
      <sheetName val="Viguetas_Firth5"/>
      <sheetName val="B__equipos5"/>
      <sheetName val="CONTROL_PRESUPUESTAL5"/>
      <sheetName val="Estimacion_-_CBS5"/>
      <sheetName val="Estimacion_-_Resumen5"/>
      <sheetName val="OP_5"/>
      <sheetName val="Aqr_5"/>
      <sheetName val="II_SS5"/>
      <sheetName val="ESTRUC_5"/>
      <sheetName val="II_EE5"/>
      <sheetName val="Programa_de_Áreas5"/>
      <sheetName val="Estimacion_-_CBS_(2)5"/>
      <sheetName val="Cartas_Recibidas5"/>
      <sheetName val="Cartas_Enviadas5"/>
      <sheetName val="Actas_Emitidas5"/>
      <sheetName val="Descripción_de_Subcomponentes5"/>
      <sheetName val="Carátula_Principal5"/>
      <sheetName val="1_0_Car_FT5"/>
      <sheetName val="1_0_FT5"/>
      <sheetName val="2_0_Car_RF5"/>
      <sheetName val="2_0_RF5"/>
      <sheetName val="3_0_Car_RE5"/>
      <sheetName val="3_0_Res__Ejecutivo5"/>
      <sheetName val="4_0_Car_P_y_L5"/>
      <sheetName val="4_0_Permisos_y_Licencias5"/>
      <sheetName val="5_0_Car_EC5"/>
      <sheetName val="5_0_Estado_Economico5"/>
      <sheetName val="5_1_Car_MI5"/>
      <sheetName val="5_1_M_Inversión5"/>
      <sheetName val="5_2_Car_CC5"/>
      <sheetName val="5_2_FCC5"/>
      <sheetName val="6_0_Car_EF5"/>
      <sheetName val="6_0_Estado_Financiero5"/>
      <sheetName val="6_1_Car_SP5"/>
      <sheetName val="6_1__Situacion_de_pagos5"/>
      <sheetName val="6_2_Car_G5"/>
      <sheetName val="6_2_Garantias5"/>
      <sheetName val="7_0_Car_PP5"/>
      <sheetName val="7_1_Car_Diag_Gantt5"/>
      <sheetName val="7_1_Diag_Gantt5"/>
      <sheetName val="8_0_Car_Curva_S_5"/>
      <sheetName val="8_1_Res-S-Integral5"/>
      <sheetName val="8_1_S_Integral5"/>
      <sheetName val="8_2_S-Contratistas5"/>
      <sheetName val="8_3_Equipos5"/>
      <sheetName val="9_0_Car_CEM5"/>
      <sheetName val="9_0_SCEM5"/>
      <sheetName val="10_0_Car_Procuras5"/>
      <sheetName val="10_0_Seg_Procu_Imp5"/>
      <sheetName val="11_0_Car_SSOMA5"/>
      <sheetName val="10_0_Rep__de_Seguridad5"/>
      <sheetName val="10_01_Histograma_de_obra5"/>
      <sheetName val="12_0_Car_MdC5"/>
      <sheetName val="12_0_Matriz_de_Contacto5"/>
      <sheetName val="ANÁLISIS_GG5"/>
      <sheetName val="Avance_financiero5"/>
      <sheetName val="Metrados_Fabricacion"/>
      <sheetName val="Liebman_134"/>
      <sheetName val="METRADOS_ESTRUCTURAS_B-1"/>
      <sheetName val="Columnas_de__Cerco"/>
      <sheetName val="Losa_postensado_h=_0_20"/>
      <sheetName val="Base_de_Equipos"/>
      <sheetName val="LOSA_DE_PISO_E=_0"/>
      <sheetName val="Columnas_"/>
      <sheetName val="Muros_de_Cerco"/>
      <sheetName val="Muros_de_Contencion"/>
      <sheetName val="Muros_Pantalla_"/>
      <sheetName val="Cimiento_Corrido"/>
      <sheetName val="V_C_"/>
      <sheetName val="Vigas_y_Cortes"/>
      <sheetName val="Cimentacion_Armada"/>
      <sheetName val="VIGAS_DE_AMARRE_Y_DINTELES"/>
      <sheetName val="Relleno_Rampa"/>
      <sheetName val="Viguetas_Firth"/>
      <sheetName val="B__equipos"/>
      <sheetName val="CONTROL_PRESUPUESTAL"/>
      <sheetName val="Estimacion_-_CBS"/>
      <sheetName val="Estimacion_-_Resumen"/>
      <sheetName val="OP_"/>
      <sheetName val="Aqr_"/>
      <sheetName val="II_SS"/>
      <sheetName val="ESTRUC_"/>
      <sheetName val="II_EE"/>
      <sheetName val="Programa_de_Áreas"/>
      <sheetName val="Estimacion_-_CBS_(2)"/>
      <sheetName val="Cartas_Recibidas"/>
      <sheetName val="Cartas_Enviadas"/>
      <sheetName val="Actas_Emitidas"/>
      <sheetName val="Descripción_de_Subcomponentes"/>
      <sheetName val="Carátula_Principal"/>
      <sheetName val="1_0_Car_FT"/>
      <sheetName val="1_0_FT"/>
      <sheetName val="2_0_Car_RF"/>
      <sheetName val="2_0_RF"/>
      <sheetName val="3_0_Car_RE"/>
      <sheetName val="3_0_Res__Ejecutivo"/>
      <sheetName val="4_0_Car_P_y_L"/>
      <sheetName val="4_0_Permisos_y_Licencias"/>
      <sheetName val="5_0_Car_EC"/>
      <sheetName val="5_0_Estado_Economico"/>
      <sheetName val="5_1_Car_MI"/>
      <sheetName val="5_1_M_Inversión"/>
      <sheetName val="5_2_Car_CC"/>
      <sheetName val="5_2_FCC"/>
      <sheetName val="6_0_Car_EF"/>
      <sheetName val="6_0_Estado_Financiero"/>
      <sheetName val="6_1_Car_SP"/>
      <sheetName val="6_1__Situacion_de_pagos"/>
      <sheetName val="6_2_Car_G"/>
      <sheetName val="6_2_Garantias"/>
      <sheetName val="7_0_Car_PP"/>
      <sheetName val="7_1_Car_Diag_Gantt"/>
      <sheetName val="7_1_Diag_Gantt"/>
      <sheetName val="8_0_Car_Curva_S_"/>
      <sheetName val="8_1_Res-S-Integral"/>
      <sheetName val="8_1_S_Integral"/>
      <sheetName val="8_2_S-Contratistas"/>
      <sheetName val="8_3_Equipos"/>
      <sheetName val="9_0_Car_CEM"/>
      <sheetName val="9_0_SCEM"/>
      <sheetName val="10_0_Car_Procuras"/>
      <sheetName val="10_0_Seg_Procu_Imp"/>
      <sheetName val="11_0_Car_SSOMA"/>
      <sheetName val="10_0_Rep__de_Seguridad"/>
      <sheetName val="10_01_Histograma_de_obra"/>
      <sheetName val="12_0_Car_MdC"/>
      <sheetName val="12_0_Matriz_de_Contacto"/>
      <sheetName val="ANÁLISIS_GG"/>
      <sheetName val="Avance_financiero"/>
      <sheetName val="RESUMEN_DE_PROPUESTA13"/>
      <sheetName val="PU_arquitectura13"/>
      <sheetName val="pu_Estructuras13"/>
      <sheetName val="PU_electricas13"/>
      <sheetName val="PU_sanitarias13"/>
      <sheetName val="ANALISIS_3"/>
      <sheetName val="Salary_Schedules1"/>
      <sheetName val="Metrados_Fabricacion1"/>
      <sheetName val="Liebman_1341"/>
      <sheetName val="METRADOS_ESTRUCTURAS_B-11"/>
      <sheetName val="Columnas_de__Cerco1"/>
      <sheetName val="Losa_postensado_h=_0_201"/>
      <sheetName val="Base_de_Equipos1"/>
      <sheetName val="LOSA_DE_PISO_E=_01"/>
      <sheetName val="Columnas_1"/>
      <sheetName val="Muros_de_Cerco1"/>
      <sheetName val="Muros_de_Contencion1"/>
      <sheetName val="Muros_Pantalla_1"/>
      <sheetName val="Cimiento_Corrido1"/>
      <sheetName val="V_C_1"/>
      <sheetName val="Vigas_y_Cortes1"/>
      <sheetName val="Cimentacion_Armada1"/>
      <sheetName val="VIGAS_DE_AMARRE_Y_DINTELES1"/>
      <sheetName val="Relleno_Rampa1"/>
      <sheetName val="Viguetas_Firth1"/>
      <sheetName val="B__equipos1"/>
      <sheetName val="CONTROL_PRESUPUESTAL1"/>
      <sheetName val="Estimacion_-_CBS1"/>
      <sheetName val="Estimacion_-_Resumen1"/>
      <sheetName val="OP_1"/>
      <sheetName val="Aqr_1"/>
      <sheetName val="II_SS1"/>
      <sheetName val="ESTRUC_1"/>
      <sheetName val="II_EE1"/>
      <sheetName val="Programa_de_Áreas1"/>
      <sheetName val="Estimacion_-_CBS_(2)1"/>
      <sheetName val="Cartas_Recibidas1"/>
      <sheetName val="Cartas_Enviadas1"/>
      <sheetName val="Actas_Emitidas1"/>
      <sheetName val="Descripción_de_Subcomponentes1"/>
      <sheetName val="Carátula_Principal1"/>
      <sheetName val="1_0_Car_FT1"/>
      <sheetName val="1_0_FT1"/>
      <sheetName val="2_0_Car_RF1"/>
      <sheetName val="2_0_RF1"/>
      <sheetName val="3_0_Car_RE1"/>
      <sheetName val="3_0_Res__Ejecutivo1"/>
      <sheetName val="4_0_Car_P_y_L1"/>
      <sheetName val="4_0_Permisos_y_Licencias1"/>
      <sheetName val="5_0_Car_EC1"/>
      <sheetName val="5_0_Estado_Economico1"/>
      <sheetName val="5_1_Car_MI1"/>
      <sheetName val="5_1_M_Inversión1"/>
      <sheetName val="5_2_Car_CC1"/>
      <sheetName val="5_2_FCC1"/>
      <sheetName val="6_0_Car_EF1"/>
      <sheetName val="6_0_Estado_Financiero1"/>
      <sheetName val="6_1_Car_SP1"/>
      <sheetName val="6_1__Situacion_de_pagos1"/>
      <sheetName val="6_2_Car_G1"/>
      <sheetName val="6_2_Garantias1"/>
      <sheetName val="7_0_Car_PP1"/>
      <sheetName val="7_1_Car_Diag_Gantt1"/>
      <sheetName val="7_1_Diag_Gantt1"/>
      <sheetName val="8_0_Car_Curva_S_1"/>
      <sheetName val="8_1_Res-S-Integral1"/>
      <sheetName val="8_1_S_Integral1"/>
      <sheetName val="8_2_S-Contratistas1"/>
      <sheetName val="8_3_Equipos1"/>
      <sheetName val="9_0_Car_CEM1"/>
      <sheetName val="9_0_SCEM1"/>
      <sheetName val="10_0_Car_Procuras1"/>
      <sheetName val="10_0_Seg_Procu_Imp1"/>
      <sheetName val="11_0_Car_SSOMA1"/>
      <sheetName val="10_0_Rep__de_Seguridad1"/>
      <sheetName val="10_01_Histograma_de_obra1"/>
      <sheetName val="12_0_Car_MdC1"/>
      <sheetName val="12_0_Matriz_de_Contacto1"/>
      <sheetName val="ANÁLISIS_GG1"/>
      <sheetName val="Avance_financiero1"/>
      <sheetName val="RESUMEN_DE_PROPUESTA14"/>
      <sheetName val="PU_arquitectura14"/>
      <sheetName val="pu_Estructuras14"/>
      <sheetName val="PU_electricas14"/>
      <sheetName val="PU_sanitarias14"/>
      <sheetName val="ANALISIS_4"/>
      <sheetName val="Salary_Schedules2"/>
      <sheetName val="Metrados_Fabricacion2"/>
      <sheetName val="Liebman_1342"/>
      <sheetName val="METRADOS_ESTRUCTURAS_B-12"/>
      <sheetName val="Columnas_de__Cerco2"/>
      <sheetName val="Losa_postensado_h=_0_202"/>
      <sheetName val="Base_de_Equipos2"/>
      <sheetName val="LOSA_DE_PISO_E=_02"/>
      <sheetName val="Columnas_2"/>
      <sheetName val="Muros_de_Cerco2"/>
      <sheetName val="Muros_de_Contencion2"/>
      <sheetName val="Muros_Pantalla_2"/>
      <sheetName val="Cimiento_Corrido2"/>
      <sheetName val="V_C_2"/>
      <sheetName val="Vigas_y_Cortes2"/>
      <sheetName val="Cimentacion_Armada2"/>
      <sheetName val="VIGAS_DE_AMARRE_Y_DINTELES2"/>
      <sheetName val="Relleno_Rampa2"/>
      <sheetName val="Viguetas_Firth2"/>
      <sheetName val="B__equipos2"/>
      <sheetName val="CONTROL_PRESUPUESTAL2"/>
      <sheetName val="Estimacion_-_CBS2"/>
      <sheetName val="Estimacion_-_Resumen2"/>
      <sheetName val="OP_2"/>
      <sheetName val="Aqr_2"/>
      <sheetName val="II_SS2"/>
      <sheetName val="ESTRUC_2"/>
      <sheetName val="II_EE2"/>
      <sheetName val="Programa_de_Áreas2"/>
      <sheetName val="Estimacion_-_CBS_(2)2"/>
      <sheetName val="Cartas_Recibidas2"/>
      <sheetName val="Cartas_Enviadas2"/>
      <sheetName val="Actas_Emitidas2"/>
      <sheetName val="Descripción_de_Subcomponentes2"/>
      <sheetName val="Carátula_Principal2"/>
      <sheetName val="1_0_Car_FT2"/>
      <sheetName val="1_0_FT2"/>
      <sheetName val="2_0_Car_RF2"/>
      <sheetName val="2_0_RF2"/>
      <sheetName val="3_0_Car_RE2"/>
      <sheetName val="3_0_Res__Ejecutivo2"/>
      <sheetName val="4_0_Car_P_y_L2"/>
      <sheetName val="4_0_Permisos_y_Licencias2"/>
      <sheetName val="5_0_Car_EC2"/>
      <sheetName val="5_0_Estado_Economico2"/>
      <sheetName val="5_1_Car_MI2"/>
      <sheetName val="5_1_M_Inversión2"/>
      <sheetName val="5_2_Car_CC2"/>
      <sheetName val="5_2_FCC2"/>
      <sheetName val="6_0_Car_EF2"/>
      <sheetName val="6_0_Estado_Financiero2"/>
      <sheetName val="6_1_Car_SP2"/>
      <sheetName val="6_1__Situacion_de_pagos2"/>
      <sheetName val="6_2_Car_G2"/>
      <sheetName val="6_2_Garantias2"/>
      <sheetName val="7_0_Car_PP2"/>
      <sheetName val="7_1_Car_Diag_Gantt2"/>
      <sheetName val="7_1_Diag_Gantt2"/>
      <sheetName val="8_0_Car_Curva_S_2"/>
      <sheetName val="8_1_Res-S-Integral2"/>
      <sheetName val="8_1_S_Integral2"/>
      <sheetName val="8_2_S-Contratistas2"/>
      <sheetName val="8_3_Equipos2"/>
      <sheetName val="9_0_Car_CEM2"/>
      <sheetName val="9_0_SCEM2"/>
      <sheetName val="10_0_Car_Procuras2"/>
      <sheetName val="10_0_Seg_Procu_Imp2"/>
      <sheetName val="11_0_Car_SSOMA2"/>
      <sheetName val="10_0_Rep__de_Seguridad2"/>
      <sheetName val="10_01_Histograma_de_obra2"/>
      <sheetName val="12_0_Car_MdC2"/>
      <sheetName val="12_0_Matriz_de_Contacto2"/>
      <sheetName val="ANÁLISIS_GG2"/>
      <sheetName val="Avance_financiero2"/>
      <sheetName val="RESUMEN_DE_PROPUESTA16"/>
      <sheetName val="PU_arquitectura16"/>
      <sheetName val="pu_Estructuras16"/>
      <sheetName val="PU_electricas16"/>
      <sheetName val="PU_sanitarias16"/>
      <sheetName val="ANALISIS_6"/>
      <sheetName val="Salary_Schedules4"/>
      <sheetName val="Metrados_Fabricacion4"/>
      <sheetName val="Liebman_1344"/>
      <sheetName val="METRADOS_ESTRUCTURAS_B-14"/>
      <sheetName val="Columnas_de__Cerco4"/>
      <sheetName val="Losa_postensado_h=_0_204"/>
      <sheetName val="Base_de_Equipos4"/>
      <sheetName val="LOSA_DE_PISO_E=_04"/>
      <sheetName val="Columnas_4"/>
      <sheetName val="Muros_de_Cerco4"/>
      <sheetName val="Muros_de_Contencion4"/>
      <sheetName val="Muros_Pantalla_4"/>
      <sheetName val="Cimiento_Corrido4"/>
      <sheetName val="V_C_4"/>
      <sheetName val="Vigas_y_Cortes4"/>
      <sheetName val="Cimentacion_Armada4"/>
      <sheetName val="VIGAS_DE_AMARRE_Y_DINTELES4"/>
      <sheetName val="Relleno_Rampa4"/>
      <sheetName val="Viguetas_Firth4"/>
      <sheetName val="B__equipos4"/>
      <sheetName val="CONTROL_PRESUPUESTAL4"/>
      <sheetName val="Estimacion_-_CBS4"/>
      <sheetName val="Estimacion_-_Resumen4"/>
      <sheetName val="OP_4"/>
      <sheetName val="Aqr_4"/>
      <sheetName val="II_SS4"/>
      <sheetName val="ESTRUC_4"/>
      <sheetName val="II_EE4"/>
      <sheetName val="Programa_de_Áreas4"/>
      <sheetName val="Estimacion_-_CBS_(2)4"/>
      <sheetName val="Cartas_Recibidas4"/>
      <sheetName val="Cartas_Enviadas4"/>
      <sheetName val="Actas_Emitidas4"/>
      <sheetName val="Descripción_de_Subcomponentes4"/>
      <sheetName val="Carátula_Principal4"/>
      <sheetName val="1_0_Car_FT4"/>
      <sheetName val="1_0_FT4"/>
      <sheetName val="2_0_Car_RF4"/>
      <sheetName val="2_0_RF4"/>
      <sheetName val="3_0_Car_RE4"/>
      <sheetName val="3_0_Res__Ejecutivo4"/>
      <sheetName val="4_0_Car_P_y_L4"/>
      <sheetName val="4_0_Permisos_y_Licencias4"/>
      <sheetName val="5_0_Car_EC4"/>
      <sheetName val="5_0_Estado_Economico4"/>
      <sheetName val="5_1_Car_MI4"/>
      <sheetName val="5_1_M_Inversión4"/>
      <sheetName val="5_2_Car_CC4"/>
      <sheetName val="5_2_FCC4"/>
      <sheetName val="6_0_Car_EF4"/>
      <sheetName val="6_0_Estado_Financiero4"/>
      <sheetName val="6_1_Car_SP4"/>
      <sheetName val="6_1__Situacion_de_pagos4"/>
      <sheetName val="6_2_Car_G4"/>
      <sheetName val="6_2_Garantias4"/>
      <sheetName val="7_0_Car_PP4"/>
      <sheetName val="7_1_Car_Diag_Gantt4"/>
      <sheetName val="7_1_Diag_Gantt4"/>
      <sheetName val="8_0_Car_Curva_S_4"/>
      <sheetName val="8_1_Res-S-Integral4"/>
      <sheetName val="8_1_S_Integral4"/>
      <sheetName val="8_2_S-Contratistas4"/>
      <sheetName val="8_3_Equipos4"/>
      <sheetName val="9_0_Car_CEM4"/>
      <sheetName val="9_0_SCEM4"/>
      <sheetName val="10_0_Car_Procuras4"/>
      <sheetName val="10_0_Seg_Procu_Imp4"/>
      <sheetName val="11_0_Car_SSOMA4"/>
      <sheetName val="10_0_Rep__de_Seguridad4"/>
      <sheetName val="10_01_Histograma_de_obra4"/>
      <sheetName val="12_0_Car_MdC4"/>
      <sheetName val="12_0_Matriz_de_Contacto4"/>
      <sheetName val="ANÁLISIS_GG4"/>
      <sheetName val="Avance_financiero4"/>
      <sheetName val="RESUMEN_DE_PROPUESTA15"/>
      <sheetName val="PU_arquitectura15"/>
      <sheetName val="pu_Estructuras15"/>
      <sheetName val="PU_electricas15"/>
      <sheetName val="PU_sanitarias15"/>
      <sheetName val="ANALISIS_5"/>
      <sheetName val="Salary_Schedules3"/>
      <sheetName val="Metrados_Fabricacion3"/>
      <sheetName val="Liebman_1343"/>
      <sheetName val="METRADOS_ESTRUCTURAS_B-13"/>
      <sheetName val="Columnas_de__Cerco3"/>
      <sheetName val="Losa_postensado_h=_0_203"/>
      <sheetName val="Base_de_Equipos3"/>
      <sheetName val="LOSA_DE_PISO_E=_03"/>
      <sheetName val="Columnas_3"/>
      <sheetName val="Muros_de_Cerco3"/>
      <sheetName val="Muros_de_Contencion3"/>
      <sheetName val="Muros_Pantalla_3"/>
      <sheetName val="Cimiento_Corrido3"/>
      <sheetName val="V_C_3"/>
      <sheetName val="Vigas_y_Cortes3"/>
      <sheetName val="Cimentacion_Armada3"/>
      <sheetName val="VIGAS_DE_AMARRE_Y_DINTELES3"/>
      <sheetName val="Relleno_Rampa3"/>
      <sheetName val="Viguetas_Firth3"/>
      <sheetName val="B__equipos3"/>
      <sheetName val="CONTROL_PRESUPUESTAL3"/>
      <sheetName val="Estimacion_-_CBS3"/>
      <sheetName val="Estimacion_-_Resumen3"/>
      <sheetName val="OP_3"/>
      <sheetName val="Aqr_3"/>
      <sheetName val="II_SS3"/>
      <sheetName val="ESTRUC_3"/>
      <sheetName val="II_EE3"/>
      <sheetName val="Programa_de_Áreas3"/>
      <sheetName val="Estimacion_-_CBS_(2)3"/>
      <sheetName val="Cartas_Recibidas3"/>
      <sheetName val="Cartas_Enviadas3"/>
      <sheetName val="Actas_Emitidas3"/>
      <sheetName val="Descripción_de_Subcomponentes3"/>
      <sheetName val="Carátula_Principal3"/>
      <sheetName val="1_0_Car_FT3"/>
      <sheetName val="1_0_FT3"/>
      <sheetName val="2_0_Car_RF3"/>
      <sheetName val="2_0_RF3"/>
      <sheetName val="3_0_Car_RE3"/>
      <sheetName val="3_0_Res__Ejecutivo3"/>
      <sheetName val="4_0_Car_P_y_L3"/>
      <sheetName val="4_0_Permisos_y_Licencias3"/>
      <sheetName val="5_0_Car_EC3"/>
      <sheetName val="5_0_Estado_Economico3"/>
      <sheetName val="5_1_Car_MI3"/>
      <sheetName val="5_1_M_Inversión3"/>
      <sheetName val="5_2_Car_CC3"/>
      <sheetName val="5_2_FCC3"/>
      <sheetName val="6_0_Car_EF3"/>
      <sheetName val="6_0_Estado_Financiero3"/>
      <sheetName val="6_1_Car_SP3"/>
      <sheetName val="6_1__Situacion_de_pagos3"/>
      <sheetName val="6_2_Car_G3"/>
      <sheetName val="6_2_Garantias3"/>
      <sheetName val="7_0_Car_PP3"/>
      <sheetName val="7_1_Car_Diag_Gantt3"/>
      <sheetName val="7_1_Diag_Gantt3"/>
      <sheetName val="8_0_Car_Curva_S_3"/>
      <sheetName val="8_1_Res-S-Integral3"/>
      <sheetName val="8_1_S_Integral3"/>
      <sheetName val="8_2_S-Contratistas3"/>
      <sheetName val="8_3_Equipos3"/>
      <sheetName val="9_0_Car_CEM3"/>
      <sheetName val="9_0_SCEM3"/>
      <sheetName val="10_0_Car_Procuras3"/>
      <sheetName val="10_0_Seg_Procu_Imp3"/>
      <sheetName val="11_0_Car_SSOMA3"/>
      <sheetName val="10_0_Rep__de_Seguridad3"/>
      <sheetName val="10_01_Histograma_de_obra3"/>
      <sheetName val="12_0_Car_MdC3"/>
      <sheetName val="12_0_Matriz_de_Contacto3"/>
      <sheetName val="ANÁLISIS_GG3"/>
      <sheetName val="Avance_financiero3"/>
      <sheetName val="RESUMEN_DE_PROPUESTA18"/>
      <sheetName val="PU_arquitectura18"/>
      <sheetName val="pu_Estructuras18"/>
      <sheetName val="PU_electricas18"/>
      <sheetName val="PU_sanitarias18"/>
      <sheetName val="ANALISIS_8"/>
      <sheetName val="Salary_Schedules6"/>
      <sheetName val="Metrados_Fabricacion6"/>
      <sheetName val="Liebman_1346"/>
      <sheetName val="METRADOS_ESTRUCTURAS_B-16"/>
      <sheetName val="Columnas_de__Cerco6"/>
      <sheetName val="Losa_postensado_h=_0_206"/>
      <sheetName val="Base_de_Equipos6"/>
      <sheetName val="LOSA_DE_PISO_E=_06"/>
      <sheetName val="Columnas_6"/>
      <sheetName val="Muros_de_Cerco6"/>
      <sheetName val="Muros_de_Contencion6"/>
      <sheetName val="Muros_Pantalla_6"/>
      <sheetName val="Cimiento_Corrido6"/>
      <sheetName val="V_C_6"/>
      <sheetName val="Vigas_y_Cortes6"/>
      <sheetName val="Cimentacion_Armada6"/>
      <sheetName val="VIGAS_DE_AMARRE_Y_DINTELES6"/>
      <sheetName val="Relleno_Rampa6"/>
      <sheetName val="Viguetas_Firth6"/>
      <sheetName val="B__equipos6"/>
      <sheetName val="CONTROL_PRESUPUESTAL6"/>
      <sheetName val="Estimacion_-_CBS6"/>
      <sheetName val="Estimacion_-_Resumen6"/>
      <sheetName val="OP_6"/>
      <sheetName val="Aqr_6"/>
      <sheetName val="II_SS6"/>
      <sheetName val="ESTRUC_6"/>
      <sheetName val="II_EE6"/>
      <sheetName val="Programa_de_Áreas6"/>
      <sheetName val="Estimacion_-_CBS_(2)6"/>
      <sheetName val="Cartas_Recibidas6"/>
      <sheetName val="Cartas_Enviadas6"/>
      <sheetName val="Actas_Emitidas6"/>
      <sheetName val="Descripción_de_Subcomponentes6"/>
      <sheetName val="Carátula_Principal6"/>
      <sheetName val="1_0_Car_FT6"/>
      <sheetName val="1_0_FT6"/>
      <sheetName val="2_0_Car_RF6"/>
      <sheetName val="2_0_RF6"/>
      <sheetName val="3_0_Car_RE6"/>
      <sheetName val="3_0_Res__Ejecutivo6"/>
      <sheetName val="4_0_Car_P_y_L6"/>
      <sheetName val="4_0_Permisos_y_Licencias6"/>
      <sheetName val="5_0_Car_EC6"/>
      <sheetName val="5_0_Estado_Economico6"/>
      <sheetName val="5_1_Car_MI6"/>
      <sheetName val="5_1_M_Inversión6"/>
      <sheetName val="5_2_Car_CC6"/>
      <sheetName val="5_2_FCC6"/>
      <sheetName val="6_0_Car_EF6"/>
      <sheetName val="6_0_Estado_Financiero6"/>
      <sheetName val="6_1_Car_SP6"/>
      <sheetName val="6_1__Situacion_de_pagos6"/>
      <sheetName val="6_2_Car_G6"/>
      <sheetName val="6_2_Garantias6"/>
      <sheetName val="7_0_Car_PP6"/>
      <sheetName val="7_1_Car_Diag_Gantt6"/>
      <sheetName val="7_1_Diag_Gantt6"/>
      <sheetName val="8_0_Car_Curva_S_6"/>
      <sheetName val="8_1_Res-S-Integral6"/>
      <sheetName val="8_1_S_Integral6"/>
      <sheetName val="8_2_S-Contratistas6"/>
      <sheetName val="8_3_Equipos6"/>
      <sheetName val="9_0_Car_CEM6"/>
      <sheetName val="9_0_SCEM6"/>
      <sheetName val="10_0_Car_Procuras6"/>
      <sheetName val="10_0_Seg_Procu_Imp6"/>
      <sheetName val="11_0_Car_SSOMA6"/>
      <sheetName val="10_0_Rep__de_Seguridad6"/>
      <sheetName val="10_01_Histograma_de_obra6"/>
      <sheetName val="12_0_Car_MdC6"/>
      <sheetName val="12_0_Matriz_de_Contacto6"/>
      <sheetName val="ANÁLISIS_GG6"/>
      <sheetName val="Avance_financiero6"/>
      <sheetName val="RESUMEN_DE_PROPUESTA19"/>
      <sheetName val="PU_arquitectura19"/>
      <sheetName val="pu_Estructuras19"/>
      <sheetName val="PU_electricas19"/>
      <sheetName val="PU_sanitarias19"/>
      <sheetName val="ANALISIS_9"/>
      <sheetName val="Salary_Schedules7"/>
      <sheetName val="Metrados_Fabricacion7"/>
      <sheetName val="Liebman_1347"/>
      <sheetName val="METRADOS_ESTRUCTURAS_B-17"/>
      <sheetName val="Columnas_de__Cerco7"/>
      <sheetName val="Losa_postensado_h=_0_207"/>
      <sheetName val="Base_de_Equipos7"/>
      <sheetName val="LOSA_DE_PISO_E=_07"/>
      <sheetName val="Columnas_7"/>
      <sheetName val="Muros_de_Cerco7"/>
      <sheetName val="Muros_de_Contencion7"/>
      <sheetName val="Muros_Pantalla_7"/>
      <sheetName val="Cimiento_Corrido7"/>
      <sheetName val="V_C_7"/>
      <sheetName val="Vigas_y_Cortes7"/>
      <sheetName val="Cimentacion_Armada7"/>
      <sheetName val="VIGAS_DE_AMARRE_Y_DINTELES7"/>
      <sheetName val="Relleno_Rampa7"/>
      <sheetName val="Viguetas_Firth7"/>
      <sheetName val="B__equipos7"/>
      <sheetName val="CONTROL_PRESUPUESTAL7"/>
      <sheetName val="Estimacion_-_CBS7"/>
      <sheetName val="Estimacion_-_Resumen7"/>
      <sheetName val="OP_7"/>
      <sheetName val="Aqr_7"/>
      <sheetName val="II_SS7"/>
      <sheetName val="ESTRUC_7"/>
      <sheetName val="II_EE7"/>
      <sheetName val="Programa_de_Áreas7"/>
      <sheetName val="Estimacion_-_CBS_(2)7"/>
      <sheetName val="Cartas_Recibidas7"/>
      <sheetName val="Cartas_Enviadas7"/>
      <sheetName val="Actas_Emitidas7"/>
      <sheetName val="Descripción_de_Subcomponentes7"/>
      <sheetName val="Carátula_Principal7"/>
      <sheetName val="1_0_Car_FT7"/>
      <sheetName val="1_0_FT7"/>
      <sheetName val="2_0_Car_RF7"/>
      <sheetName val="2_0_RF7"/>
      <sheetName val="3_0_Car_RE7"/>
      <sheetName val="3_0_Res__Ejecutivo7"/>
      <sheetName val="4_0_Car_P_y_L7"/>
      <sheetName val="4_0_Permisos_y_Licencias7"/>
      <sheetName val="5_0_Car_EC7"/>
      <sheetName val="5_0_Estado_Economico7"/>
      <sheetName val="5_1_Car_MI7"/>
      <sheetName val="5_1_M_Inversión7"/>
      <sheetName val="5_2_Car_CC7"/>
      <sheetName val="5_2_FCC7"/>
      <sheetName val="6_0_Car_EF7"/>
      <sheetName val="6_0_Estado_Financiero7"/>
      <sheetName val="6_1_Car_SP7"/>
      <sheetName val="6_1__Situacion_de_pagos7"/>
      <sheetName val="6_2_Car_G7"/>
      <sheetName val="6_2_Garantias7"/>
      <sheetName val="7_0_Car_PP7"/>
      <sheetName val="7_1_Car_Diag_Gantt7"/>
      <sheetName val="7_1_Diag_Gantt7"/>
      <sheetName val="8_0_Car_Curva_S_7"/>
      <sheetName val="8_1_Res-S-Integral7"/>
      <sheetName val="8_1_S_Integral7"/>
      <sheetName val="8_2_S-Contratistas7"/>
      <sheetName val="8_3_Equipos7"/>
      <sheetName val="9_0_Car_CEM7"/>
      <sheetName val="9_0_SCEM7"/>
      <sheetName val="10_0_Car_Procuras7"/>
      <sheetName val="10_0_Seg_Procu_Imp7"/>
      <sheetName val="11_0_Car_SSOMA7"/>
      <sheetName val="10_0_Rep__de_Seguridad7"/>
      <sheetName val="10_01_Histograma_de_obra7"/>
      <sheetName val="12_0_Car_MdC7"/>
      <sheetName val="12_0_Matriz_de_Contacto7"/>
      <sheetName val="ANÁLISIS_GG7"/>
      <sheetName val="Avance_financiero7"/>
      <sheetName val="RESUMEN_DE_PROPUESTA20"/>
      <sheetName val="PU_arquitectura20"/>
      <sheetName val="pu_Estructuras20"/>
      <sheetName val="PU_electricas20"/>
      <sheetName val="PU_sanitarias20"/>
      <sheetName val="ANALISIS_10"/>
      <sheetName val="Salary_Schedules8"/>
      <sheetName val="Metrados_Fabricacion8"/>
      <sheetName val="Liebman_1348"/>
      <sheetName val="METRADOS_ESTRUCTURAS_B-18"/>
      <sheetName val="Columnas_de__Cerco8"/>
      <sheetName val="Losa_postensado_h=_0_208"/>
      <sheetName val="Base_de_Equipos8"/>
      <sheetName val="LOSA_DE_PISO_E=_08"/>
      <sheetName val="Columnas_8"/>
      <sheetName val="Muros_de_Cerco8"/>
      <sheetName val="Muros_de_Contencion8"/>
      <sheetName val="Muros_Pantalla_8"/>
      <sheetName val="Cimiento_Corrido8"/>
      <sheetName val="V_C_8"/>
      <sheetName val="Vigas_y_Cortes8"/>
      <sheetName val="Cimentacion_Armada8"/>
      <sheetName val="VIGAS_DE_AMARRE_Y_DINTELES8"/>
      <sheetName val="Relleno_Rampa8"/>
      <sheetName val="Viguetas_Firth8"/>
      <sheetName val="B__equipos8"/>
      <sheetName val="CONTROL_PRESUPUESTAL8"/>
      <sheetName val="Estimacion_-_CBS8"/>
      <sheetName val="Estimacion_-_Resumen8"/>
      <sheetName val="OP_8"/>
      <sheetName val="Aqr_8"/>
      <sheetName val="II_SS8"/>
      <sheetName val="ESTRUC_8"/>
      <sheetName val="II_EE8"/>
      <sheetName val="Programa_de_Áreas8"/>
      <sheetName val="Estimacion_-_CBS_(2)8"/>
      <sheetName val="Cartas_Recibidas8"/>
      <sheetName val="Cartas_Enviadas8"/>
      <sheetName val="Actas_Emitidas8"/>
      <sheetName val="Descripción_de_Subcomponentes8"/>
      <sheetName val="Carátula_Principal8"/>
      <sheetName val="1_0_Car_FT8"/>
      <sheetName val="1_0_FT8"/>
      <sheetName val="2_0_Car_RF8"/>
      <sheetName val="2_0_RF8"/>
      <sheetName val="3_0_Car_RE8"/>
      <sheetName val="3_0_Res__Ejecutivo8"/>
      <sheetName val="4_0_Car_P_y_L8"/>
      <sheetName val="4_0_Permisos_y_Licencias8"/>
      <sheetName val="5_0_Car_EC8"/>
      <sheetName val="5_0_Estado_Economico8"/>
      <sheetName val="5_1_Car_MI8"/>
      <sheetName val="5_1_M_Inversión8"/>
      <sheetName val="5_2_Car_CC8"/>
      <sheetName val="5_2_FCC8"/>
      <sheetName val="6_0_Car_EF8"/>
      <sheetName val="6_0_Estado_Financiero8"/>
      <sheetName val="6_1_Car_SP8"/>
      <sheetName val="6_1__Situacion_de_pagos8"/>
      <sheetName val="6_2_Car_G8"/>
      <sheetName val="6_2_Garantias8"/>
      <sheetName val="7_0_Car_PP8"/>
      <sheetName val="7_1_Car_Diag_Gantt8"/>
      <sheetName val="7_1_Diag_Gantt8"/>
      <sheetName val="8_0_Car_Curva_S_8"/>
      <sheetName val="8_1_Res-S-Integral8"/>
      <sheetName val="8_1_S_Integral8"/>
      <sheetName val="8_2_S-Contratistas8"/>
      <sheetName val="8_3_Equipos8"/>
      <sheetName val="9_0_Car_CEM8"/>
      <sheetName val="9_0_SCEM8"/>
      <sheetName val="10_0_Car_Procuras8"/>
      <sheetName val="10_0_Seg_Procu_Imp8"/>
      <sheetName val="11_0_Car_SSOMA8"/>
      <sheetName val="10_0_Rep__de_Seguridad8"/>
      <sheetName val="10_01_Histograma_de_obra8"/>
      <sheetName val="12_0_Car_MdC8"/>
      <sheetName val="12_0_Matriz_de_Contacto8"/>
      <sheetName val="ANÁLISIS_GG8"/>
      <sheetName val="Avance_financiero8"/>
      <sheetName val="RESUMEN_DE_PROPUESTA21"/>
      <sheetName val="PU_arquitectura21"/>
      <sheetName val="pu_Estructuras21"/>
      <sheetName val="PU_electricas21"/>
      <sheetName val="PU_sanitarias21"/>
      <sheetName val="ANALISIS_11"/>
      <sheetName val="Salary_Schedules9"/>
      <sheetName val="Metrados_Fabricacion9"/>
      <sheetName val="Liebman_1349"/>
      <sheetName val="METRADOS_ESTRUCTURAS_B-19"/>
      <sheetName val="Columnas_de__Cerco9"/>
      <sheetName val="Losa_postensado_h=_0_209"/>
      <sheetName val="Base_de_Equipos9"/>
      <sheetName val="LOSA_DE_PISO_E=_09"/>
      <sheetName val="Columnas_9"/>
      <sheetName val="Muros_de_Cerco9"/>
      <sheetName val="Muros_de_Contencion9"/>
      <sheetName val="Muros_Pantalla_9"/>
      <sheetName val="Cimiento_Corrido9"/>
      <sheetName val="V_C_9"/>
      <sheetName val="Vigas_y_Cortes9"/>
      <sheetName val="Cimentacion_Armada9"/>
      <sheetName val="VIGAS_DE_AMARRE_Y_DINTELES9"/>
      <sheetName val="Relleno_Rampa9"/>
      <sheetName val="Viguetas_Firth9"/>
      <sheetName val="B__equipos9"/>
      <sheetName val="CONTROL_PRESUPUESTAL9"/>
      <sheetName val="Estimacion_-_CBS9"/>
      <sheetName val="Estimacion_-_Resumen9"/>
      <sheetName val="OP_9"/>
      <sheetName val="Aqr_9"/>
      <sheetName val="II_SS9"/>
      <sheetName val="ESTRUC_9"/>
      <sheetName val="II_EE9"/>
      <sheetName val="Programa_de_Áreas9"/>
      <sheetName val="Estimacion_-_CBS_(2)9"/>
      <sheetName val="Cartas_Recibidas9"/>
      <sheetName val="Cartas_Enviadas9"/>
      <sheetName val="Actas_Emitidas9"/>
      <sheetName val="Descripción_de_Subcomponentes9"/>
      <sheetName val="Carátula_Principal9"/>
      <sheetName val="1_0_Car_FT9"/>
      <sheetName val="1_0_FT9"/>
      <sheetName val="2_0_Car_RF9"/>
      <sheetName val="2_0_RF9"/>
      <sheetName val="3_0_Car_RE9"/>
      <sheetName val="3_0_Res__Ejecutivo9"/>
      <sheetName val="4_0_Car_P_y_L9"/>
      <sheetName val="4_0_Permisos_y_Licencias9"/>
      <sheetName val="5_0_Car_EC9"/>
      <sheetName val="5_0_Estado_Economico9"/>
      <sheetName val="5_1_Car_MI9"/>
      <sheetName val="5_1_M_Inversión9"/>
      <sheetName val="5_2_Car_CC9"/>
      <sheetName val="5_2_FCC9"/>
      <sheetName val="6_0_Car_EF9"/>
      <sheetName val="6_0_Estado_Financiero9"/>
      <sheetName val="6_1_Car_SP9"/>
      <sheetName val="6_1__Situacion_de_pagos9"/>
      <sheetName val="6_2_Car_G9"/>
      <sheetName val="6_2_Garantias9"/>
      <sheetName val="7_0_Car_PP9"/>
      <sheetName val="7_1_Car_Diag_Gantt9"/>
      <sheetName val="7_1_Diag_Gantt9"/>
      <sheetName val="8_0_Car_Curva_S_9"/>
      <sheetName val="8_1_Res-S-Integral9"/>
      <sheetName val="8_1_S_Integral9"/>
      <sheetName val="8_2_S-Contratistas9"/>
      <sheetName val="8_3_Equipos9"/>
      <sheetName val="9_0_Car_CEM9"/>
      <sheetName val="9_0_SCEM9"/>
      <sheetName val="10_0_Car_Procuras9"/>
      <sheetName val="10_0_Seg_Procu_Imp9"/>
      <sheetName val="11_0_Car_SSOMA9"/>
      <sheetName val="10_0_Rep__de_Seguridad9"/>
      <sheetName val="10_01_Histograma_de_obra9"/>
      <sheetName val="12_0_Car_MdC9"/>
      <sheetName val="12_0_Matriz_de_Contacto9"/>
      <sheetName val="ANÁLISIS_GG9"/>
      <sheetName val="Avance_financiero9"/>
      <sheetName val="RESUMEN_DE_PROPUESTA23"/>
      <sheetName val="PU_arquitectura23"/>
      <sheetName val="pu_Estructuras23"/>
      <sheetName val="PU_electricas23"/>
      <sheetName val="PU_sanitarias23"/>
      <sheetName val="ANALISIS_13"/>
      <sheetName val="Salary_Schedules11"/>
      <sheetName val="Metrados_Fabricacion11"/>
      <sheetName val="Liebman_13411"/>
      <sheetName val="METRADOS_ESTRUCTURAS_B-111"/>
      <sheetName val="Columnas_de__Cerco11"/>
      <sheetName val="Losa_postensado_h=_0_2011"/>
      <sheetName val="Base_de_Equipos11"/>
      <sheetName val="LOSA_DE_PISO_E=_011"/>
      <sheetName val="Columnas_11"/>
      <sheetName val="Muros_de_Cerco11"/>
      <sheetName val="Muros_de_Contencion11"/>
      <sheetName val="Muros_Pantalla_11"/>
      <sheetName val="Cimiento_Corrido11"/>
      <sheetName val="V_C_11"/>
      <sheetName val="Vigas_y_Cortes11"/>
      <sheetName val="Cimentacion_Armada11"/>
      <sheetName val="VIGAS_DE_AMARRE_Y_DINTELES11"/>
      <sheetName val="Relleno_Rampa11"/>
      <sheetName val="Viguetas_Firth11"/>
      <sheetName val="B__equipos11"/>
      <sheetName val="CONTROL_PRESUPUESTAL11"/>
      <sheetName val="Estimacion_-_CBS11"/>
      <sheetName val="Estimacion_-_Resumen11"/>
      <sheetName val="OP_11"/>
      <sheetName val="Aqr_11"/>
      <sheetName val="II_SS11"/>
      <sheetName val="ESTRUC_11"/>
      <sheetName val="II_EE11"/>
      <sheetName val="Programa_de_Áreas11"/>
      <sheetName val="Estimacion_-_CBS_(2)11"/>
      <sheetName val="Cartas_Recibidas11"/>
      <sheetName val="Cartas_Enviadas11"/>
      <sheetName val="Actas_Emitidas11"/>
      <sheetName val="Descripción_de_Subcomponentes11"/>
      <sheetName val="Carátula_Principal11"/>
      <sheetName val="1_0_Car_FT11"/>
      <sheetName val="1_0_FT11"/>
      <sheetName val="2_0_Car_RF11"/>
      <sheetName val="2_0_RF11"/>
      <sheetName val="3_0_Car_RE11"/>
      <sheetName val="3_0_Res__Ejecutivo11"/>
      <sheetName val="4_0_Car_P_y_L11"/>
      <sheetName val="4_0_Permisos_y_Licencias11"/>
      <sheetName val="5_0_Car_EC11"/>
      <sheetName val="5_0_Estado_Economico11"/>
      <sheetName val="5_1_Car_MI11"/>
      <sheetName val="5_1_M_Inversión11"/>
      <sheetName val="5_2_Car_CC11"/>
      <sheetName val="5_2_FCC11"/>
      <sheetName val="6_0_Car_EF11"/>
      <sheetName val="6_0_Estado_Financiero11"/>
      <sheetName val="6_1_Car_SP11"/>
      <sheetName val="6_1__Situacion_de_pagos11"/>
      <sheetName val="6_2_Car_G11"/>
      <sheetName val="6_2_Garantias11"/>
      <sheetName val="7_0_Car_PP11"/>
      <sheetName val="7_1_Car_Diag_Gantt11"/>
      <sheetName val="7_1_Diag_Gantt11"/>
      <sheetName val="8_0_Car_Curva_S_11"/>
      <sheetName val="8_1_Res-S-Integral11"/>
      <sheetName val="8_1_S_Integral11"/>
      <sheetName val="8_2_S-Contratistas11"/>
      <sheetName val="8_3_Equipos11"/>
      <sheetName val="9_0_Car_CEM11"/>
      <sheetName val="9_0_SCEM11"/>
      <sheetName val="10_0_Car_Procuras11"/>
      <sheetName val="10_0_Seg_Procu_Imp11"/>
      <sheetName val="11_0_Car_SSOMA11"/>
      <sheetName val="10_0_Rep__de_Seguridad11"/>
      <sheetName val="10_01_Histograma_de_obra11"/>
      <sheetName val="12_0_Car_MdC11"/>
      <sheetName val="12_0_Matriz_de_Contacto11"/>
      <sheetName val="ANÁLISIS_GG11"/>
      <sheetName val="Avance_financiero11"/>
      <sheetName val="RESUMEN_DE_PROPUESTA22"/>
      <sheetName val="PU_arquitectura22"/>
      <sheetName val="pu_Estructuras22"/>
      <sheetName val="PU_electricas22"/>
      <sheetName val="PU_sanitarias22"/>
      <sheetName val="ANALISIS_12"/>
      <sheetName val="Salary_Schedules10"/>
      <sheetName val="Metrados_Fabricacion10"/>
      <sheetName val="Liebman_13410"/>
      <sheetName val="METRADOS_ESTRUCTURAS_B-110"/>
      <sheetName val="Columnas_de__Cerco10"/>
      <sheetName val="Losa_postensado_h=_0_2010"/>
      <sheetName val="Base_de_Equipos10"/>
      <sheetName val="LOSA_DE_PISO_E=_010"/>
      <sheetName val="Columnas_10"/>
      <sheetName val="Muros_de_Cerco10"/>
      <sheetName val="Muros_de_Contencion10"/>
      <sheetName val="Muros_Pantalla_10"/>
      <sheetName val="Cimiento_Corrido10"/>
      <sheetName val="V_C_10"/>
      <sheetName val="Vigas_y_Cortes10"/>
      <sheetName val="Cimentacion_Armada10"/>
      <sheetName val="VIGAS_DE_AMARRE_Y_DINTELES10"/>
      <sheetName val="Relleno_Rampa10"/>
      <sheetName val="Viguetas_Firth10"/>
      <sheetName val="B__equipos10"/>
      <sheetName val="CONTROL_PRESUPUESTAL10"/>
      <sheetName val="Estimacion_-_CBS10"/>
      <sheetName val="Estimacion_-_Resumen10"/>
      <sheetName val="OP_10"/>
      <sheetName val="Aqr_10"/>
      <sheetName val="II_SS10"/>
      <sheetName val="ESTRUC_10"/>
      <sheetName val="II_EE10"/>
      <sheetName val="Programa_de_Áreas10"/>
      <sheetName val="Estimacion_-_CBS_(2)10"/>
      <sheetName val="Cartas_Recibidas10"/>
      <sheetName val="Cartas_Enviadas10"/>
      <sheetName val="Actas_Emitidas10"/>
      <sheetName val="Descripción_de_Subcomponentes10"/>
      <sheetName val="Carátula_Principal10"/>
      <sheetName val="1_0_Car_FT10"/>
      <sheetName val="1_0_FT10"/>
      <sheetName val="2_0_Car_RF10"/>
      <sheetName val="2_0_RF10"/>
      <sheetName val="3_0_Car_RE10"/>
      <sheetName val="3_0_Res__Ejecutivo10"/>
      <sheetName val="4_0_Car_P_y_L10"/>
      <sheetName val="4_0_Permisos_y_Licencias10"/>
      <sheetName val="5_0_Car_EC10"/>
      <sheetName val="5_0_Estado_Economico10"/>
      <sheetName val="5_1_Car_MI10"/>
      <sheetName val="5_1_M_Inversión10"/>
      <sheetName val="5_2_Car_CC10"/>
      <sheetName val="5_2_FCC10"/>
      <sheetName val="6_0_Car_EF10"/>
      <sheetName val="6_0_Estado_Financiero10"/>
      <sheetName val="6_1_Car_SP10"/>
      <sheetName val="6_1__Situacion_de_pagos10"/>
      <sheetName val="6_2_Car_G10"/>
      <sheetName val="6_2_Garantias10"/>
      <sheetName val="7_0_Car_PP10"/>
      <sheetName val="7_1_Car_Diag_Gantt10"/>
      <sheetName val="7_1_Diag_Gantt10"/>
      <sheetName val="8_0_Car_Curva_S_10"/>
      <sheetName val="8_1_Res-S-Integral10"/>
      <sheetName val="8_1_S_Integral10"/>
      <sheetName val="8_2_S-Contratistas10"/>
      <sheetName val="8_3_Equipos10"/>
      <sheetName val="9_0_Car_CEM10"/>
      <sheetName val="9_0_SCEM10"/>
      <sheetName val="10_0_Car_Procuras10"/>
      <sheetName val="10_0_Seg_Procu_Imp10"/>
      <sheetName val="11_0_Car_SSOMA10"/>
      <sheetName val="10_0_Rep__de_Seguridad10"/>
      <sheetName val="10_01_Histograma_de_obra10"/>
      <sheetName val="12_0_Car_MdC10"/>
      <sheetName val="12_0_Matriz_de_Contacto10"/>
      <sheetName val="ANÁLISIS_GG10"/>
      <sheetName val="Avance_financiero10"/>
      <sheetName val="RESUMEN_DE_PROPUESTA26"/>
      <sheetName val="PU_arquitectura26"/>
      <sheetName val="pu_Estructuras26"/>
      <sheetName val="PU_electricas26"/>
      <sheetName val="PU_sanitarias26"/>
      <sheetName val="ANALISIS_16"/>
      <sheetName val="Salary_Schedules14"/>
      <sheetName val="Metrados_Fabricacion14"/>
      <sheetName val="Liebman_13414"/>
      <sheetName val="METRADOS_ESTRUCTURAS_B-114"/>
      <sheetName val="Columnas_de__Cerco14"/>
      <sheetName val="Losa_postensado_h=_0_2014"/>
      <sheetName val="Base_de_Equipos14"/>
      <sheetName val="LOSA_DE_PISO_E=_014"/>
      <sheetName val="Columnas_14"/>
      <sheetName val="Muros_de_Cerco14"/>
      <sheetName val="Muros_de_Contencion14"/>
      <sheetName val="Muros_Pantalla_14"/>
      <sheetName val="Cimiento_Corrido14"/>
      <sheetName val="V_C_14"/>
      <sheetName val="Vigas_y_Cortes14"/>
      <sheetName val="Cimentacion_Armada14"/>
      <sheetName val="VIGAS_DE_AMARRE_Y_DINTELES14"/>
      <sheetName val="Relleno_Rampa14"/>
      <sheetName val="Viguetas_Firth14"/>
      <sheetName val="B__equipos14"/>
      <sheetName val="CONTROL_PRESUPUESTAL14"/>
      <sheetName val="Estimacion_-_CBS14"/>
      <sheetName val="Estimacion_-_Resumen14"/>
      <sheetName val="OP_14"/>
      <sheetName val="Aqr_14"/>
      <sheetName val="II_SS14"/>
      <sheetName val="ESTRUC_14"/>
      <sheetName val="II_EE14"/>
      <sheetName val="Programa_de_Áreas14"/>
      <sheetName val="Estimacion_-_CBS_(2)14"/>
      <sheetName val="Cartas_Recibidas14"/>
      <sheetName val="Cartas_Enviadas14"/>
      <sheetName val="Actas_Emitidas14"/>
      <sheetName val="Descripción_de_Subcomponentes14"/>
      <sheetName val="Carátula_Principal14"/>
      <sheetName val="1_0_Car_FT14"/>
      <sheetName val="1_0_FT14"/>
      <sheetName val="2_0_Car_RF14"/>
      <sheetName val="2_0_RF14"/>
      <sheetName val="3_0_Car_RE14"/>
      <sheetName val="3_0_Res__Ejecutivo14"/>
      <sheetName val="4_0_Car_P_y_L14"/>
      <sheetName val="4_0_Permisos_y_Licencias14"/>
      <sheetName val="5_0_Car_EC14"/>
      <sheetName val="5_0_Estado_Economico14"/>
      <sheetName val="5_1_Car_MI14"/>
      <sheetName val="5_1_M_Inversión14"/>
      <sheetName val="5_2_Car_CC14"/>
      <sheetName val="5_2_FCC14"/>
      <sheetName val="6_0_Car_EF14"/>
      <sheetName val="6_0_Estado_Financiero14"/>
      <sheetName val="6_1_Car_SP14"/>
      <sheetName val="6_1__Situacion_de_pagos14"/>
      <sheetName val="6_2_Car_G14"/>
      <sheetName val="6_2_Garantias14"/>
      <sheetName val="7_0_Car_PP14"/>
      <sheetName val="7_1_Car_Diag_Gantt14"/>
      <sheetName val="7_1_Diag_Gantt14"/>
      <sheetName val="8_0_Car_Curva_S_14"/>
      <sheetName val="8_1_Res-S-Integral14"/>
      <sheetName val="8_1_S_Integral14"/>
      <sheetName val="8_2_S-Contratistas14"/>
      <sheetName val="8_3_Equipos14"/>
      <sheetName val="9_0_Car_CEM14"/>
      <sheetName val="9_0_SCEM14"/>
      <sheetName val="10_0_Car_Procuras14"/>
      <sheetName val="10_0_Seg_Procu_Imp14"/>
      <sheetName val="11_0_Car_SSOMA14"/>
      <sheetName val="10_0_Rep__de_Seguridad14"/>
      <sheetName val="10_01_Histograma_de_obra14"/>
      <sheetName val="12_0_Car_MdC14"/>
      <sheetName val="12_0_Matriz_de_Contacto14"/>
      <sheetName val="ANÁLISIS_GG14"/>
      <sheetName val="Avance_financiero14"/>
      <sheetName val="RESUMEN_DE_PROPUESTA24"/>
      <sheetName val="PU_arquitectura24"/>
      <sheetName val="pu_Estructuras24"/>
      <sheetName val="PU_electricas24"/>
      <sheetName val="PU_sanitarias24"/>
      <sheetName val="ANALISIS_14"/>
      <sheetName val="Salary_Schedules12"/>
      <sheetName val="Metrados_Fabricacion12"/>
      <sheetName val="Liebman_13412"/>
      <sheetName val="METRADOS_ESTRUCTURAS_B-112"/>
      <sheetName val="Columnas_de__Cerco12"/>
      <sheetName val="Losa_postensado_h=_0_2012"/>
      <sheetName val="Base_de_Equipos12"/>
      <sheetName val="LOSA_DE_PISO_E=_012"/>
      <sheetName val="Columnas_12"/>
      <sheetName val="Muros_de_Cerco12"/>
      <sheetName val="Muros_de_Contencion12"/>
      <sheetName val="Muros_Pantalla_12"/>
      <sheetName val="Cimiento_Corrido12"/>
      <sheetName val="V_C_12"/>
      <sheetName val="Vigas_y_Cortes12"/>
      <sheetName val="Cimentacion_Armada12"/>
      <sheetName val="VIGAS_DE_AMARRE_Y_DINTELES12"/>
      <sheetName val="Relleno_Rampa12"/>
      <sheetName val="Viguetas_Firth12"/>
      <sheetName val="B__equipos12"/>
      <sheetName val="CONTROL_PRESUPUESTAL12"/>
      <sheetName val="Estimacion_-_CBS12"/>
      <sheetName val="Estimacion_-_Resumen12"/>
      <sheetName val="OP_12"/>
      <sheetName val="Aqr_12"/>
      <sheetName val="II_SS12"/>
      <sheetName val="ESTRUC_12"/>
      <sheetName val="II_EE12"/>
      <sheetName val="Programa_de_Áreas12"/>
      <sheetName val="Estimacion_-_CBS_(2)12"/>
      <sheetName val="Cartas_Recibidas12"/>
      <sheetName val="Cartas_Enviadas12"/>
      <sheetName val="Actas_Emitidas12"/>
      <sheetName val="Descripción_de_Subcomponentes12"/>
      <sheetName val="Carátula_Principal12"/>
      <sheetName val="1_0_Car_FT12"/>
      <sheetName val="1_0_FT12"/>
      <sheetName val="2_0_Car_RF12"/>
      <sheetName val="2_0_RF12"/>
      <sheetName val="3_0_Car_RE12"/>
      <sheetName val="3_0_Res__Ejecutivo12"/>
      <sheetName val="4_0_Car_P_y_L12"/>
      <sheetName val="4_0_Permisos_y_Licencias12"/>
      <sheetName val="5_0_Car_EC12"/>
      <sheetName val="5_0_Estado_Economico12"/>
      <sheetName val="5_1_Car_MI12"/>
      <sheetName val="5_1_M_Inversión12"/>
      <sheetName val="5_2_Car_CC12"/>
      <sheetName val="5_2_FCC12"/>
      <sheetName val="6_0_Car_EF12"/>
      <sheetName val="6_0_Estado_Financiero12"/>
      <sheetName val="6_1_Car_SP12"/>
      <sheetName val="6_1__Situacion_de_pagos12"/>
      <sheetName val="6_2_Car_G12"/>
      <sheetName val="6_2_Garantias12"/>
      <sheetName val="7_0_Car_PP12"/>
      <sheetName val="7_1_Car_Diag_Gantt12"/>
      <sheetName val="7_1_Diag_Gantt12"/>
      <sheetName val="8_0_Car_Curva_S_12"/>
      <sheetName val="8_1_Res-S-Integral12"/>
      <sheetName val="8_1_S_Integral12"/>
      <sheetName val="8_2_S-Contratistas12"/>
      <sheetName val="8_3_Equipos12"/>
      <sheetName val="9_0_Car_CEM12"/>
      <sheetName val="9_0_SCEM12"/>
      <sheetName val="10_0_Car_Procuras12"/>
      <sheetName val="10_0_Seg_Procu_Imp12"/>
      <sheetName val="11_0_Car_SSOMA12"/>
      <sheetName val="10_0_Rep__de_Seguridad12"/>
      <sheetName val="10_01_Histograma_de_obra12"/>
      <sheetName val="12_0_Car_MdC12"/>
      <sheetName val="12_0_Matriz_de_Contacto12"/>
      <sheetName val="ANÁLISIS_GG12"/>
      <sheetName val="Avance_financiero12"/>
      <sheetName val="RESUMEN_DE_PROPUESTA25"/>
      <sheetName val="PU_arquitectura25"/>
      <sheetName val="pu_Estructuras25"/>
      <sheetName val="PU_electricas25"/>
      <sheetName val="PU_sanitarias25"/>
      <sheetName val="ANALISIS_15"/>
      <sheetName val="Salary_Schedules13"/>
      <sheetName val="Metrados_Fabricacion13"/>
      <sheetName val="Liebman_13413"/>
      <sheetName val="METRADOS_ESTRUCTURAS_B-113"/>
      <sheetName val="Columnas_de__Cerco13"/>
      <sheetName val="Losa_postensado_h=_0_2013"/>
      <sheetName val="Base_de_Equipos13"/>
      <sheetName val="LOSA_DE_PISO_E=_013"/>
      <sheetName val="Columnas_13"/>
      <sheetName val="Muros_de_Cerco13"/>
      <sheetName val="Muros_de_Contencion13"/>
      <sheetName val="Muros_Pantalla_13"/>
      <sheetName val="Cimiento_Corrido13"/>
      <sheetName val="V_C_13"/>
      <sheetName val="Vigas_y_Cortes13"/>
      <sheetName val="Cimentacion_Armada13"/>
      <sheetName val="VIGAS_DE_AMARRE_Y_DINTELES13"/>
      <sheetName val="Relleno_Rampa13"/>
      <sheetName val="Viguetas_Firth13"/>
      <sheetName val="B__equipos13"/>
      <sheetName val="CONTROL_PRESUPUESTAL13"/>
      <sheetName val="Estimacion_-_CBS13"/>
      <sheetName val="Estimacion_-_Resumen13"/>
      <sheetName val="OP_13"/>
      <sheetName val="Aqr_13"/>
      <sheetName val="II_SS13"/>
      <sheetName val="ESTRUC_13"/>
      <sheetName val="II_EE13"/>
      <sheetName val="Programa_de_Áreas13"/>
      <sheetName val="Estimacion_-_CBS_(2)13"/>
      <sheetName val="Cartas_Recibidas13"/>
      <sheetName val="Cartas_Enviadas13"/>
      <sheetName val="Actas_Emitidas13"/>
      <sheetName val="Descripción_de_Subcomponentes13"/>
      <sheetName val="Carátula_Principal13"/>
      <sheetName val="1_0_Car_FT13"/>
      <sheetName val="1_0_FT13"/>
      <sheetName val="2_0_Car_RF13"/>
      <sheetName val="2_0_RF13"/>
      <sheetName val="3_0_Car_RE13"/>
      <sheetName val="3_0_Res__Ejecutivo13"/>
      <sheetName val="4_0_Car_P_y_L13"/>
      <sheetName val="4_0_Permisos_y_Licencias13"/>
      <sheetName val="5_0_Car_EC13"/>
      <sheetName val="5_0_Estado_Economico13"/>
      <sheetName val="5_1_Car_MI13"/>
      <sheetName val="5_1_M_Inversión13"/>
      <sheetName val="5_2_Car_CC13"/>
      <sheetName val="5_2_FCC13"/>
      <sheetName val="6_0_Car_EF13"/>
      <sheetName val="6_0_Estado_Financiero13"/>
      <sheetName val="6_1_Car_SP13"/>
      <sheetName val="6_1__Situacion_de_pagos13"/>
      <sheetName val="6_2_Car_G13"/>
      <sheetName val="6_2_Garantias13"/>
      <sheetName val="7_0_Car_PP13"/>
      <sheetName val="7_1_Car_Diag_Gantt13"/>
      <sheetName val="7_1_Diag_Gantt13"/>
      <sheetName val="8_0_Car_Curva_S_13"/>
      <sheetName val="8_1_Res-S-Integral13"/>
      <sheetName val="8_1_S_Integral13"/>
      <sheetName val="8_2_S-Contratistas13"/>
      <sheetName val="8_3_Equipos13"/>
      <sheetName val="9_0_Car_CEM13"/>
      <sheetName val="9_0_SCEM13"/>
      <sheetName val="10_0_Car_Procuras13"/>
      <sheetName val="10_0_Seg_Procu_Imp13"/>
      <sheetName val="11_0_Car_SSOMA13"/>
      <sheetName val="10_0_Rep__de_Seguridad13"/>
      <sheetName val="10_01_Histograma_de_obra13"/>
      <sheetName val="12_0_Car_MdC13"/>
      <sheetName val="12_0_Matriz_de_Contacto13"/>
      <sheetName val="ANÁLISIS_GG13"/>
      <sheetName val="Avance_financiero13"/>
      <sheetName val="Pisos "/>
      <sheetName val="Zocalos y C_zoc."/>
      <sheetName val="Vidrios y crist."/>
      <sheetName val="Aparatos sanit."/>
      <sheetName val="Comp__IIEE_-_General"/>
      <sheetName val="Caracteristicas_Técnicas"/>
      <sheetName val="COMPARATIVO_INCL__TABLEROS"/>
      <sheetName val="Comparativo_económico"/>
      <sheetName val="Análisis_de_Valor"/>
      <sheetName val="G_G_"/>
      <sheetName val="GENERALES"/>
      <sheetName val="O.CIVIL"/>
      <sheetName val="IISS"/>
      <sheetName val="IIMM LIQ"/>
      <sheetName val="IIEE"/>
      <sheetName val="VIATICOS"/>
      <sheetName val="Adicionales"/>
      <sheetName val="Deductivos"/>
      <sheetName val="PLANILA OC"/>
      <sheetName val="Hoja3"/>
      <sheetName val="Relacion de Recurs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 refreshError="1"/>
      <sheetData sheetId="216"/>
      <sheetData sheetId="217"/>
      <sheetData sheetId="218" refreshError="1"/>
      <sheetData sheetId="219" refreshError="1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 refreshError="1"/>
      <sheetData sheetId="143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Comparativo mecánica Clima"/>
      <sheetName val="Comparativo sistema"/>
      <sheetName val="Electricidad - Climatización"/>
      <sheetName val="Electricidad _ Climatización"/>
      <sheetName val="Comparativo_mecánica_Clima"/>
      <sheetName val="Comparativo_sistema"/>
      <sheetName val="Electricidad_-_Climatización"/>
      <sheetName val="Electricidad___Climatización"/>
      <sheetName val="투입실적"/>
      <sheetName val="CWP"/>
      <sheetName val="RESUMEN"/>
      <sheetName val="ANALISIS ALQUILER FERREYROS"/>
      <sheetName val="pu Estructuras"/>
      <sheetName val="EDIFICIO"/>
      <sheetName val="ESTACIONAM."/>
      <sheetName val="OBRAS EXT."/>
      <sheetName val="Datos"/>
      <sheetName val="puni"/>
      <sheetName val="Curva S DAMRAISE-Central"/>
      <sheetName val="적용환율"/>
      <sheetName val="Basis"/>
      <sheetName val="DESGLOSE"/>
      <sheetName val="Comparativo_mecánica_Clima5"/>
      <sheetName val="Comparativo_sistema5"/>
      <sheetName val="Electricidad_-_Climatización5"/>
      <sheetName val="Electricidad___Climatización5"/>
      <sheetName val="ANALISIS_ALQUILER_FERREYROS4"/>
      <sheetName val="pu_Estructuras4"/>
      <sheetName val="ESTACIONAM_4"/>
      <sheetName val="OBRAS_EXT_4"/>
      <sheetName val="Curva_S_DAMRAISE-Central4"/>
      <sheetName val="Comparativo_mecánica_Clima1"/>
      <sheetName val="Comparativo_sistema1"/>
      <sheetName val="Electricidad_-_Climatización1"/>
      <sheetName val="Electricidad___Climatización1"/>
      <sheetName val="ANALISIS_ALQUILER_FERREYROS"/>
      <sheetName val="pu_Estructuras"/>
      <sheetName val="ESTACIONAM_"/>
      <sheetName val="OBRAS_EXT_"/>
      <sheetName val="Curva_S_DAMRAISE-Central"/>
      <sheetName val="Comparativo_mecánica_Clima2"/>
      <sheetName val="Comparativo_sistema2"/>
      <sheetName val="Electricidad_-_Climatización2"/>
      <sheetName val="Electricidad___Climatización2"/>
      <sheetName val="ANALISIS_ALQUILER_FERREYROS1"/>
      <sheetName val="pu_Estructuras1"/>
      <sheetName val="ESTACIONAM_1"/>
      <sheetName val="OBRAS_EXT_1"/>
      <sheetName val="Curva_S_DAMRAISE-Central1"/>
      <sheetName val="Comparativo_mecánica_Clima3"/>
      <sheetName val="Comparativo_sistema3"/>
      <sheetName val="Electricidad_-_Climatización3"/>
      <sheetName val="Electricidad___Climatización3"/>
      <sheetName val="ANALISIS_ALQUILER_FERREYROS2"/>
      <sheetName val="pu_Estructuras2"/>
      <sheetName val="ESTACIONAM_2"/>
      <sheetName val="OBRAS_EXT_2"/>
      <sheetName val="Curva_S_DAMRAISE-Central2"/>
      <sheetName val="Comparativo_mecánica_Clima4"/>
      <sheetName val="Comparativo_sistema4"/>
      <sheetName val="Electricidad_-_Climatización4"/>
      <sheetName val="Electricidad___Climatización4"/>
      <sheetName val="ANALISIS_ALQUILER_FERREYROS3"/>
      <sheetName val="pu_Estructuras3"/>
      <sheetName val="ESTACIONAM_3"/>
      <sheetName val="OBRAS_EXT_3"/>
      <sheetName val="Curva_S_DAMRAISE-Central3"/>
      <sheetName val="Comparativo_mecánica_Clima9"/>
      <sheetName val="Comparativo_sistema9"/>
      <sheetName val="Electricidad_-_Climatización9"/>
      <sheetName val="Electricidad___Climatización9"/>
      <sheetName val="ANALISIS_ALQUILER_FERREYROS8"/>
      <sheetName val="pu_Estructuras8"/>
      <sheetName val="ESTACIONAM_8"/>
      <sheetName val="OBRAS_EXT_8"/>
      <sheetName val="Curva_S_DAMRAISE-Central8"/>
      <sheetName val="Comparativo_mecánica_Clima6"/>
      <sheetName val="Comparativo_sistema6"/>
      <sheetName val="Electricidad_-_Climatización6"/>
      <sheetName val="Electricidad___Climatización6"/>
      <sheetName val="ANALISIS_ALQUILER_FERREYROS5"/>
      <sheetName val="pu_Estructuras5"/>
      <sheetName val="ESTACIONAM_5"/>
      <sheetName val="OBRAS_EXT_5"/>
      <sheetName val="Curva_S_DAMRAISE-Central5"/>
      <sheetName val="Comparativo_mecánica_Clima7"/>
      <sheetName val="Comparativo_sistema7"/>
      <sheetName val="Electricidad_-_Climatización7"/>
      <sheetName val="Electricidad___Climatización7"/>
      <sheetName val="ANALISIS_ALQUILER_FERREYROS6"/>
      <sheetName val="pu_Estructuras6"/>
      <sheetName val="ESTACIONAM_6"/>
      <sheetName val="OBRAS_EXT_6"/>
      <sheetName val="Curva_S_DAMRAISE-Central6"/>
      <sheetName val="Comparativo_mecánica_Clima8"/>
      <sheetName val="Comparativo_sistema8"/>
      <sheetName val="Electricidad_-_Climatización8"/>
      <sheetName val="Electricidad___Climatización8"/>
      <sheetName val="ANALISIS_ALQUILER_FERREYROS7"/>
      <sheetName val="pu_Estructuras7"/>
      <sheetName val="ESTACIONAM_7"/>
      <sheetName val="OBRAS_EXT_7"/>
      <sheetName val="Curva_S_DAMRAISE-Central7"/>
      <sheetName val="Comparativo_mecánica_Clima10"/>
      <sheetName val="Comparativo_sistema10"/>
      <sheetName val="Electricidad_-_Climatización10"/>
      <sheetName val="Electricidad___Climatización10"/>
      <sheetName val="ANALISIS_ALQUILER_FERREYROS9"/>
      <sheetName val="pu_Estructuras9"/>
      <sheetName val="ESTACIONAM_9"/>
      <sheetName val="OBRAS_EXT_9"/>
      <sheetName val="Curva_S_DAMRAISE-Central9"/>
      <sheetName val="Activities"/>
      <sheetName val="Comparativo climatización Cines"/>
      <sheetName val="Comparativo%20climatización%20C"/>
      <sheetName val="Comparativo%20climatizaci%C3%B3"/>
      <sheetName val="00-043.dat"/>
      <sheetName val="Demanda"/>
      <sheetName val="#¡REF"/>
      <sheetName val="EAR HRS"/>
      <sheetName val="EAR %"/>
      <sheetName val="steel"/>
      <sheetName val="PLN HRS"/>
      <sheetName val="PLN MNP"/>
      <sheetName val="PLN %"/>
      <sheetName val="SPENT MNP"/>
      <sheetName val="basedatos"/>
      <sheetName val="ITEM 1,2,5,6,8,10,11,12"/>
      <sheetName val="OBRA CIVIL"/>
      <sheetName val="ESTRUCTURA DE HORMIGON"/>
      <sheetName val="INSTALACION ELECTRICA"/>
      <sheetName val="Comparativo_climatización_Cines"/>
      <sheetName val="LL.TT-1"/>
      <sheetName val="LL.TT-2"/>
      <sheetName val="LL.TT-SANDRA"/>
      <sheetName val="DISTR-1"/>
      <sheetName val="DISTR-2"/>
      <sheetName val="DISTR-SANDRA"/>
      <sheetName val="OBRAS-1"/>
      <sheetName val="OBRAS-2"/>
      <sheetName val="OBRAS-SANDRA"/>
      <sheetName val="CANT-1"/>
      <sheetName val="CANT-2"/>
      <sheetName val="CANT-3"/>
      <sheetName val="HORARIOS"/>
      <sheetName val="RENDIMIENTO"/>
      <sheetName val="HR-ING LUIS SANCHEZ"/>
      <sheetName val="BASEJH"/>
      <sheetName val="Hoja2"/>
      <sheetName val="Comparativo_mecánica_Clima11"/>
      <sheetName val="Comparativo_sistema11"/>
      <sheetName val="Electricidad_-_Climatización11"/>
      <sheetName val="Electricidad___Climatización11"/>
      <sheetName val="ANALISIS_ALQUILER_FERREYROS10"/>
      <sheetName val="pu_Estructuras10"/>
      <sheetName val="ESTACIONAM_10"/>
      <sheetName val="OBRAS_EXT_10"/>
      <sheetName val="Curva_S_DAMRAISE-Central10"/>
      <sheetName val="Comparativo_climatización_Cine1"/>
      <sheetName val="00-043_dat"/>
      <sheetName val="Comparativo_mecánica_Clima12"/>
      <sheetName val="Comparativo_sistema12"/>
      <sheetName val="Electricidad_-_Climatización12"/>
      <sheetName val="Electricidad___Climatización12"/>
      <sheetName val="ANALISIS_ALQUILER_FERREYROS11"/>
      <sheetName val="pu_Estructuras11"/>
      <sheetName val="ESTACIONAM_11"/>
      <sheetName val="OBRAS_EXT_11"/>
      <sheetName val="Curva_S_DAMRAISE-Central11"/>
      <sheetName val="Comparativo_climatización_Cine2"/>
      <sheetName val="00-043_dat1"/>
      <sheetName val="Hoja1"/>
      <sheetName val="F-05"/>
      <sheetName val="EAR_HRS"/>
      <sheetName val="EAR_%"/>
      <sheetName val="PLN_HRS"/>
      <sheetName val="PLN_MNP"/>
      <sheetName val="PLN_%"/>
      <sheetName val="SPENT_MNP"/>
      <sheetName val="ITEM_1,2,5,6,8,10,11,12"/>
      <sheetName val="OBRA_CIVIL"/>
      <sheetName val="ESTRUCTURA_DE_HORMIGON"/>
      <sheetName val="INSTALACION_ELECTRICA"/>
      <sheetName val="LL_TT-1"/>
      <sheetName val="LL_TT-2"/>
      <sheetName val="LL_TT-SANDRA"/>
      <sheetName val="HR-ING_LUIS_SANCHEZ"/>
      <sheetName val="PPTO"/>
      <sheetName val="G.G."/>
      <sheetName val="29-05-2019"/>
      <sheetName val="SHEET1"/>
      <sheetName val="G"/>
      <sheetName val="ANÁLISIS GG"/>
      <sheetName val="Tuberia"/>
      <sheetName val="Avance Detallado (ok)"/>
      <sheetName val="Avance Resumen (ok)"/>
      <sheetName val="RCHH (ok) "/>
      <sheetName val="Comparativo_mecánica_Clima13"/>
      <sheetName val="Comparativo_sistema13"/>
      <sheetName val="Electricidad_-_Climatización13"/>
      <sheetName val="Electricidad___Climatización13"/>
      <sheetName val="ANALISIS_ALQUILER_FERREYROS12"/>
      <sheetName val="pu_Estructuras12"/>
      <sheetName val="ESTACIONAM_12"/>
      <sheetName val="OBRAS_EXT_12"/>
      <sheetName val="Curva_S_DAMRAISE-Central12"/>
      <sheetName val="Comparativo_climatización_Cine3"/>
      <sheetName val="00-043_dat2"/>
      <sheetName val="Sol.Val"/>
      <sheetName val="Res.Val"/>
      <sheetName val="OBRAS PROV. Y PRELIM."/>
      <sheetName val="EST ESCALERAS"/>
      <sheetName val="PC-19053 RP PURUCHUCO"/>
      <sheetName val="presupuesto con 3 conect"/>
      <sheetName val="Quantity"/>
      <sheetName val="Comparativo_mecánica_Clima14"/>
      <sheetName val="Comparativo_sistema14"/>
      <sheetName val="Electricidad_-_Climatización14"/>
      <sheetName val="Electricidad___Climatización14"/>
      <sheetName val="ANALISIS_ALQUILER_FERREYROS13"/>
      <sheetName val="pu_Estructuras13"/>
      <sheetName val="ESTACIONAM_13"/>
      <sheetName val="OBRAS_EXT_13"/>
      <sheetName val="Curva_S_DAMRAISE-Central13"/>
      <sheetName val="Comparativo_climatización_Cine4"/>
      <sheetName val="00-043_dat3"/>
      <sheetName val="OBRA_CIVIL1"/>
      <sheetName val="ESTRUCTURA_DE_HORMIGON1"/>
      <sheetName val="INSTALACION_ELECTRICA1"/>
      <sheetName val="EAR_HRS1"/>
      <sheetName val="EAR_%1"/>
      <sheetName val="PLN_HRS1"/>
      <sheetName val="PLN_MNP1"/>
      <sheetName val="PLN_%1"/>
      <sheetName val="SPENT_MNP1"/>
      <sheetName val="ITEM_1,2,5,6,8,10,11,121"/>
      <sheetName val="LL_TT-11"/>
      <sheetName val="LL_TT-21"/>
      <sheetName val="LL_TT-SANDRA1"/>
      <sheetName val="HR-ING_LUIS_SANCHEZ1"/>
      <sheetName val="Comparativo_mecánica_Clima16"/>
      <sheetName val="Comparativo_sistema16"/>
      <sheetName val="Electricidad_-_Climatización16"/>
      <sheetName val="Electricidad___Climatización16"/>
      <sheetName val="ANALISIS_ALQUILER_FERREYROS15"/>
      <sheetName val="pu_Estructuras15"/>
      <sheetName val="ESTACIONAM_15"/>
      <sheetName val="OBRAS_EXT_15"/>
      <sheetName val="Curva_S_DAMRAISE-Central15"/>
      <sheetName val="Comparativo_climatización_Cine6"/>
      <sheetName val="00-043_dat5"/>
      <sheetName val="OBRA_CIVIL3"/>
      <sheetName val="ESTRUCTURA_DE_HORMIGON3"/>
      <sheetName val="INSTALACION_ELECTRICA3"/>
      <sheetName val="EAR_HRS3"/>
      <sheetName val="EAR_%3"/>
      <sheetName val="PLN_HRS3"/>
      <sheetName val="PLN_MNP3"/>
      <sheetName val="PLN_%3"/>
      <sheetName val="SPENT_MNP3"/>
      <sheetName val="ITEM_1,2,5,6,8,10,11,123"/>
      <sheetName val="LL_TT-13"/>
      <sheetName val="LL_TT-23"/>
      <sheetName val="LL_TT-SANDRA3"/>
      <sheetName val="HR-ING_LUIS_SANCHEZ3"/>
      <sheetName val="Comparativo_mecánica_Clima15"/>
      <sheetName val="Comparativo_sistema15"/>
      <sheetName val="Electricidad_-_Climatización15"/>
      <sheetName val="Electricidad___Climatización15"/>
      <sheetName val="ANALISIS_ALQUILER_FERREYROS14"/>
      <sheetName val="pu_Estructuras14"/>
      <sheetName val="ESTACIONAM_14"/>
      <sheetName val="OBRAS_EXT_14"/>
      <sheetName val="Curva_S_DAMRAISE-Central14"/>
      <sheetName val="Comparativo_climatización_Cine5"/>
      <sheetName val="00-043_dat4"/>
      <sheetName val="OBRA_CIVIL2"/>
      <sheetName val="ESTRUCTURA_DE_HORMIGON2"/>
      <sheetName val="INSTALACION_ELECTRICA2"/>
      <sheetName val="EAR_HRS2"/>
      <sheetName val="EAR_%2"/>
      <sheetName val="PLN_HRS2"/>
      <sheetName val="PLN_MNP2"/>
      <sheetName val="PLN_%2"/>
      <sheetName val="SPENT_MNP2"/>
      <sheetName val="ITEM_1,2,5,6,8,10,11,122"/>
      <sheetName val="LL_TT-12"/>
      <sheetName val="LL_TT-22"/>
      <sheetName val="LL_TT-SANDRA2"/>
      <sheetName val="HR-ING_LUIS_SANCHEZ2"/>
      <sheetName val="Comparativo_mecánica_Clima17"/>
      <sheetName val="Comparativo_sistema17"/>
      <sheetName val="Electricidad_-_Climatización17"/>
      <sheetName val="Electricidad___Climatización17"/>
      <sheetName val="ANALISIS_ALQUILER_FERREYROS16"/>
      <sheetName val="pu_Estructuras16"/>
      <sheetName val="ESTACIONAM_16"/>
      <sheetName val="OBRAS_EXT_16"/>
      <sheetName val="Curva_S_DAMRAISE-Central16"/>
      <sheetName val="Comparativo_climatización_Cine7"/>
      <sheetName val="00-043_dat6"/>
      <sheetName val="OBRA_CIVIL4"/>
      <sheetName val="ESTRUCTURA_DE_HORMIGON4"/>
      <sheetName val="INSTALACION_ELECTRICA4"/>
      <sheetName val="EAR_HRS4"/>
      <sheetName val="EAR_%4"/>
      <sheetName val="PLN_HRS4"/>
      <sheetName val="PLN_MNP4"/>
      <sheetName val="PLN_%4"/>
      <sheetName val="SPENT_MNP4"/>
      <sheetName val="ITEM_1,2,5,6,8,10,11,124"/>
      <sheetName val="LL_TT-14"/>
      <sheetName val="LL_TT-24"/>
      <sheetName val="LL_TT-SANDRA4"/>
      <sheetName val="HR-ING_LUIS_SANCHEZ4"/>
      <sheetName val="Comparativo_mecánica_Clima18"/>
      <sheetName val="Comparativo_sistema18"/>
      <sheetName val="Electricidad_-_Climatización18"/>
      <sheetName val="Electricidad___Climatización18"/>
      <sheetName val="ANALISIS_ALQUILER_FERREYROS17"/>
      <sheetName val="pu_Estructuras17"/>
      <sheetName val="ESTACIONAM_17"/>
      <sheetName val="OBRAS_EXT_17"/>
      <sheetName val="Curva_S_DAMRAISE-Central17"/>
      <sheetName val="Comparativo_climatización_Cine8"/>
      <sheetName val="00-043_dat7"/>
      <sheetName val="Comparativo_mecánica_Clima21"/>
      <sheetName val="Comparativo_sistema21"/>
      <sheetName val="Electricidad_-_Climatización21"/>
      <sheetName val="Electricidad___Climatización21"/>
      <sheetName val="ANALISIS_ALQUILER_FERREYROS20"/>
      <sheetName val="pu_Estructuras20"/>
      <sheetName val="ESTACIONAM_20"/>
      <sheetName val="OBRAS_EXT_20"/>
      <sheetName val="Curva_S_DAMRAISE-Central20"/>
      <sheetName val="Comparativo_climatización_Cin11"/>
      <sheetName val="00-043_dat10"/>
      <sheetName val="OBRA_CIVIL7"/>
      <sheetName val="ESTRUCTURA_DE_HORMIGON7"/>
      <sheetName val="INSTALACION_ELECTRICA7"/>
      <sheetName val="EAR_HRS7"/>
      <sheetName val="EAR_%7"/>
      <sheetName val="PLN_HRS7"/>
      <sheetName val="PLN_MNP7"/>
      <sheetName val="PLN_%7"/>
      <sheetName val="SPENT_MNP7"/>
      <sheetName val="ITEM_1,2,5,6,8,10,11,127"/>
      <sheetName val="LL_TT-17"/>
      <sheetName val="LL_TT-27"/>
      <sheetName val="LL_TT-SANDRA7"/>
      <sheetName val="HR-ING_LUIS_SANCHEZ7"/>
      <sheetName val="Comparativo_mecánica_Clima19"/>
      <sheetName val="Comparativo_sistema19"/>
      <sheetName val="Electricidad_-_Climatización19"/>
      <sheetName val="Electricidad___Climatización19"/>
      <sheetName val="ANALISIS_ALQUILER_FERREYROS18"/>
      <sheetName val="pu_Estructuras18"/>
      <sheetName val="ESTACIONAM_18"/>
      <sheetName val="OBRAS_EXT_18"/>
      <sheetName val="Curva_S_DAMRAISE-Central18"/>
      <sheetName val="Comparativo_climatización_Cine9"/>
      <sheetName val="00-043_dat8"/>
      <sheetName val="OBRA_CIVIL5"/>
      <sheetName val="ESTRUCTURA_DE_HORMIGON5"/>
      <sheetName val="INSTALACION_ELECTRICA5"/>
      <sheetName val="EAR_HRS5"/>
      <sheetName val="EAR_%5"/>
      <sheetName val="PLN_HRS5"/>
      <sheetName val="PLN_MNP5"/>
      <sheetName val="PLN_%5"/>
      <sheetName val="SPENT_MNP5"/>
      <sheetName val="ITEM_1,2,5,6,8,10,11,125"/>
      <sheetName val="LL_TT-15"/>
      <sheetName val="LL_TT-25"/>
      <sheetName val="LL_TT-SANDRA5"/>
      <sheetName val="HR-ING_LUIS_SANCHEZ5"/>
      <sheetName val="Comparativo_mecánica_Clima20"/>
      <sheetName val="Comparativo_sistema20"/>
      <sheetName val="Electricidad_-_Climatización20"/>
      <sheetName val="Electricidad___Climatización20"/>
      <sheetName val="ANALISIS_ALQUILER_FERREYROS19"/>
      <sheetName val="pu_Estructuras19"/>
      <sheetName val="ESTACIONAM_19"/>
      <sheetName val="OBRAS_EXT_19"/>
      <sheetName val="Curva_S_DAMRAISE-Central19"/>
      <sheetName val="Comparativo_climatización_Cin10"/>
      <sheetName val="00-043_dat9"/>
      <sheetName val="OBRA_CIVIL6"/>
      <sheetName val="Hoja3"/>
      <sheetName val="Hoja4"/>
      <sheetName val="Hoja5"/>
      <sheetName val="ESTRUCTURA_DE_HORMIGON6"/>
      <sheetName val="INSTALACION_ELECTRICA6"/>
      <sheetName val="EAR_HRS6"/>
      <sheetName val="EAR_%6"/>
      <sheetName val="PLN_HRS6"/>
      <sheetName val="PLN_MNP6"/>
      <sheetName val="PLN_%6"/>
      <sheetName val="SPENT_MNP6"/>
      <sheetName val="ITEM_1,2,5,6,8,10,11,126"/>
      <sheetName val="LL_TT-16"/>
      <sheetName val="LL_TT-26"/>
      <sheetName val="LL_TT-SANDRA6"/>
      <sheetName val="HR-ING_LUIS_SANCHEZ6"/>
      <sheetName val="Comparativo_mecánica_Clima22"/>
      <sheetName val="Comparativo_sistema22"/>
      <sheetName val="Electricidad_-_Climatización22"/>
      <sheetName val="Electricidad___Climatización22"/>
      <sheetName val="ANALISIS_ALQUILER_FERREYROS21"/>
      <sheetName val="pu_Estructuras21"/>
      <sheetName val="ESTACIONAM_21"/>
      <sheetName val="OBRAS_EXT_21"/>
      <sheetName val="Curva_S_DAMRAISE-Central21"/>
      <sheetName val="Comparativo_climatización_Cin12"/>
      <sheetName val="00-043_dat11"/>
      <sheetName val="OBRA_CIVIL8"/>
      <sheetName val="ESTRUCTURA_DE_HORMIGON8"/>
      <sheetName val="INSTALACION_ELECTRICA8"/>
      <sheetName val="EAR_HRS8"/>
      <sheetName val="EAR_%8"/>
      <sheetName val="PLN_HRS8"/>
      <sheetName val="PLN_MNP8"/>
      <sheetName val="PLN_%8"/>
      <sheetName val="SPENT_MNP8"/>
      <sheetName val="ITEM_1,2,5,6,8,10,11,128"/>
      <sheetName val="Títulos"/>
      <sheetName val="RESUMEN METRADOS"/>
      <sheetName val="COLUMNAS SOT"/>
      <sheetName val="VIGAS SÓTANOS"/>
      <sheetName val="VIGAS TORRE A"/>
      <sheetName val="COMPARACIÓN"/>
      <sheetName val="DEL METRADO"/>
      <sheetName val="Encofrado BVR Unispan"/>
      <sheetName val="Hoja de Recursos"/>
      <sheetName val="Provisionales "/>
      <sheetName val="Estructuras"/>
      <sheetName val="Arquitectura"/>
      <sheetName val="3.2 COLUMNA C-2_NO_IMP"/>
      <sheetName val="Datos-No imprimir"/>
      <sheetName val="INTRODUCCION"/>
      <sheetName val="Met-Elec"/>
      <sheetName val="Met-Sant"/>
      <sheetName val="BASE MATERIALES BASICOS"/>
      <sheetName val="Factura"/>
      <sheetName val="Personalizar"/>
      <sheetName val="VALORIZACION 10"/>
      <sheetName val="ANÁLISIS_GG"/>
      <sheetName val="Avance_Detallado_(ok)"/>
      <sheetName val="Avance_Resumen_(ok)"/>
      <sheetName val="RCHH_(ok)_"/>
      <sheetName val="Comparativo_mecánica_Clima23"/>
      <sheetName val="LL_TT-18"/>
      <sheetName val="LL_TT-28"/>
      <sheetName val="LL_TT-SANDRA8"/>
      <sheetName val="HR-ING_LUIS_SANCHEZ8"/>
      <sheetName val="ANÁLISIS_GG1"/>
      <sheetName val="Avance_Detallado_(ok)1"/>
      <sheetName val="Avance_Resumen_(ok)1"/>
      <sheetName val="RCHH_(ok)_1"/>
      <sheetName val="Hoja_de_Recursos"/>
      <sheetName val="Provisionales_"/>
      <sheetName val="BASE_MATERIALES_BASICOS"/>
      <sheetName val="presupuesto_con_3_conect"/>
      <sheetName val="Sol_Val"/>
      <sheetName val="Res_Val"/>
      <sheetName val="OBRAS_PROV__Y_PRELIM_"/>
      <sheetName val="EST_ESCALERAS"/>
      <sheetName val="PC-19053_RP_PURUCHUCO"/>
      <sheetName val="G_G_"/>
      <sheetName val="Encofrado_BVR_Unispan"/>
      <sheetName val="sotanos"/>
      <sheetName val="ER-Comp"/>
      <sheetName val="Cuadro de Ventas al Corte"/>
      <sheetName val="Flujo de Ingresos CxC"/>
      <sheetName val="Comparativo_sistema23"/>
      <sheetName val="Electricidad_-_Climatización23"/>
      <sheetName val="Electricidad___Climatización23"/>
      <sheetName val="ANALISIS_ALQUILER_FERREYROS22"/>
      <sheetName val="pu_Estructuras22"/>
      <sheetName val="ESTACIONAM_22"/>
      <sheetName val="OBRAS_EXT_22"/>
      <sheetName val="Curva_S_DAMRAISE-Central22"/>
      <sheetName val="00-043_dat12"/>
      <sheetName val="Comparativo_climatización_Cin13"/>
      <sheetName val="OBRA_CIVIL9"/>
      <sheetName val="ESTRUCTURA_DE_HORMIGON9"/>
      <sheetName val="INSTALACION_ELECTRICA9"/>
      <sheetName val="EAR_HRS9"/>
      <sheetName val="EAR_%9"/>
      <sheetName val="PLN_HRS9"/>
      <sheetName val="PLN_MNP9"/>
      <sheetName val="PLN_%9"/>
      <sheetName val="SPENT_MNP9"/>
      <sheetName val="ITEM_1,2,5,6,8,10,11,129"/>
      <sheetName val="3_2_COLUMNA_C-2_NO_IMP"/>
      <sheetName val="Datos-No_imprimir"/>
      <sheetName val="Comparativo_mecánica_Clima24"/>
      <sheetName val="Comparativo_sistema24"/>
      <sheetName val="Electricidad_-_Climatización24"/>
      <sheetName val="Electricidad___Climatización24"/>
      <sheetName val="ANALISIS_ALQUILER_FERREYROS23"/>
      <sheetName val="pu_Estructuras23"/>
      <sheetName val="ESTACIONAM_23"/>
      <sheetName val="OBRAS_EXT_23"/>
      <sheetName val="Curva_S_DAMRAISE-Central23"/>
      <sheetName val="Comparativo_climatización_Cin14"/>
      <sheetName val="00-043_dat13"/>
      <sheetName val="EAR_HRS10"/>
      <sheetName val="EAR_%10"/>
      <sheetName val="PLN_HRS10"/>
      <sheetName val="PLN_MNP10"/>
      <sheetName val="PLN_%10"/>
      <sheetName val="SPENT_MNP10"/>
      <sheetName val="ITEM_1,2,5,6,8,10,11,1210"/>
      <sheetName val="OBRA_CIVIL10"/>
      <sheetName val="ESTRUCTURA_DE_HORMIGON10"/>
      <sheetName val="INSTALACION_ELECTRICA10"/>
      <sheetName val="LL_TT-19"/>
      <sheetName val="LL_TT-29"/>
      <sheetName val="LL_TT-SANDRA9"/>
      <sheetName val="HR-ING_LUIS_SANCHEZ9"/>
      <sheetName val="Sol_Val1"/>
      <sheetName val="Res_Val1"/>
      <sheetName val="OBRAS_PROV__Y_PRELIM_1"/>
      <sheetName val="EST_ESCALERAS1"/>
      <sheetName val="PC-19053_RP_PURUCHUCO1"/>
      <sheetName val="presupuesto_con_3_conect1"/>
      <sheetName val="G_G_1"/>
      <sheetName val="Encofrado_BVR_Unispan1"/>
      <sheetName val="3_2_COLUMNA_C-2_NO_IMP1"/>
      <sheetName val="Datos-No_imprimir1"/>
      <sheetName val="Hoja_de_Recursos1"/>
      <sheetName val="Provisionales_1"/>
      <sheetName val="BASE_MATERIALES_BASICOS1"/>
      <sheetName val="Comparativo_mecánica_Clima25"/>
      <sheetName val="Comparativo_sistema25"/>
      <sheetName val="Electricidad_-_Climatización25"/>
      <sheetName val="Electricidad___Climatización25"/>
      <sheetName val="ANALISIS_ALQUILER_FERREYROS24"/>
      <sheetName val="pu_Estructuras24"/>
      <sheetName val="ESTACIONAM_24"/>
      <sheetName val="OBRAS_EXT_24"/>
      <sheetName val="Curva_S_DAMRAISE-Central24"/>
      <sheetName val="Comparativo_climatización_Cin15"/>
      <sheetName val="00-043_dat14"/>
      <sheetName val="EAR_HRS11"/>
      <sheetName val="EAR_%11"/>
      <sheetName val="PLN_HRS11"/>
      <sheetName val="PLN_MNP11"/>
      <sheetName val="PLN_%11"/>
      <sheetName val="SPENT_MNP11"/>
      <sheetName val="ITEM_1,2,5,6,8,10,11,1211"/>
      <sheetName val="OBRA_CIVIL11"/>
      <sheetName val="ESTRUCTURA_DE_HORMIGON11"/>
      <sheetName val="INSTALACION_ELECTRICA11"/>
      <sheetName val="LL_TT-110"/>
      <sheetName val="LL_TT-210"/>
      <sheetName val="LL_TT-SANDRA10"/>
      <sheetName val="HR-ING_LUIS_SANCHEZ10"/>
      <sheetName val="ANÁLISIS_GG2"/>
      <sheetName val="Avance_Detallado_(ok)2"/>
      <sheetName val="Avance_Resumen_(ok)2"/>
      <sheetName val="RCHH_(ok)_2"/>
      <sheetName val="G_G_2"/>
      <sheetName val="Sol_Val2"/>
      <sheetName val="Res_Val2"/>
      <sheetName val="OBRAS_PROV__Y_PRELIM_2"/>
      <sheetName val="EST_ESCALERAS2"/>
      <sheetName val="PC-19053_RP_PURUCHUCO2"/>
      <sheetName val="presupuesto_con_3_conect2"/>
      <sheetName val="Encofrado_BVR_Unispan2"/>
      <sheetName val="Hoja_de_Recursos2"/>
      <sheetName val="Provisionales_2"/>
      <sheetName val="3_2_COLUMNA_C-2_NO_IMP2"/>
      <sheetName val="Datos-No_imprimir2"/>
      <sheetName val="BASE_MATERIALES_BASICOS2"/>
      <sheetName val="RESUMEN_METRADOS"/>
      <sheetName val="COLUMNAS_SOT"/>
      <sheetName val="VIGAS_SÓTANOS"/>
      <sheetName val="VIGAS_TORRE_A"/>
      <sheetName val="DEL_METRADO"/>
      <sheetName val="VALORIZACION_10"/>
      <sheetName val="Cuadro_de_Ventas_al_Corte"/>
      <sheetName val="Flujo_de_Ingresos_CxC"/>
      <sheetName val="Comparativo_mecánica_Clima26"/>
      <sheetName val="Comparativo_sistema26"/>
      <sheetName val="Electricidad_-_Climatización26"/>
      <sheetName val="Electricidad___Climatización26"/>
      <sheetName val="ANALISIS_ALQUILER_FERREYROS25"/>
      <sheetName val="pu_Estructuras25"/>
      <sheetName val="ESTACIONAM_25"/>
      <sheetName val="OBRAS_EXT_25"/>
      <sheetName val="Curva_S_DAMRAISE-Central25"/>
      <sheetName val="Comparativo_climatización_Cin16"/>
      <sheetName val="00-043_dat15"/>
      <sheetName val="EAR_HRS12"/>
      <sheetName val="EAR_%12"/>
      <sheetName val="PLN_HRS12"/>
      <sheetName val="PLN_MNP12"/>
      <sheetName val="PLN_%12"/>
      <sheetName val="SPENT_MNP12"/>
      <sheetName val="ITEM_1,2,5,6,8,10,11,1212"/>
      <sheetName val="OBRA_CIVIL12"/>
      <sheetName val="ESTRUCTURA_DE_HORMIGON12"/>
      <sheetName val="INSTALACION_ELECTRICA12"/>
      <sheetName val="LL_TT-111"/>
      <sheetName val="LL_TT-211"/>
      <sheetName val="LL_TT-SANDRA11"/>
      <sheetName val="HR-ING_LUIS_SANCHEZ11"/>
      <sheetName val="ANÁLISIS_GG3"/>
      <sheetName val="Avance_Detallado_(ok)3"/>
      <sheetName val="Avance_Resumen_(ok)3"/>
      <sheetName val="RCHH_(ok)_3"/>
      <sheetName val="G_G_3"/>
      <sheetName val="Sol_Val3"/>
      <sheetName val="Res_Val3"/>
      <sheetName val="OBRAS_PROV__Y_PRELIM_3"/>
      <sheetName val="EST_ESCALERAS3"/>
      <sheetName val="PC-19053_RP_PURUCHUCO3"/>
      <sheetName val="presupuesto_con_3_conect3"/>
      <sheetName val="Encofrado_BVR_Unispan3"/>
      <sheetName val="Hoja_de_Recursos3"/>
      <sheetName val="Provisionales_3"/>
      <sheetName val="3_2_COLUMNA_C-2_NO_IMP3"/>
      <sheetName val="Datos-No_imprimir3"/>
      <sheetName val="BASE_MATERIALES_BASICOS3"/>
      <sheetName val="RESUMEN_METRADOS1"/>
      <sheetName val="COLUMNAS_SOT1"/>
      <sheetName val="VIGAS_SÓTANOS1"/>
      <sheetName val="VIGAS_TORRE_A1"/>
      <sheetName val="DEL_METRADO1"/>
      <sheetName val="VALORIZACION_101"/>
      <sheetName val="Cuadro_de_Ventas_al_Corte1"/>
      <sheetName val="Flujo_de_Ingresos_CxC1"/>
      <sheetName val="ANÁLISIS_GG5"/>
      <sheetName val="ANÁLISIS_GG4"/>
      <sheetName val="ANÁLISIS_GG6"/>
      <sheetName val="ANÁLISIS_GG7"/>
      <sheetName val="ANÁLISIS_GG8"/>
      <sheetName val="ANÁLISIS_GG9"/>
      <sheetName val="Decretos_PIS-COFINS"/>
      <sheetName val="LISTA"/>
      <sheetName val="Datos Generales"/>
      <sheetName val="Imprimacion_Planilla"/>
      <sheetName val="STATUS-ADM"/>
      <sheetName val="Deduc. Reaj."/>
      <sheetName val="ControlDeCalidad"/>
      <sheetName val="Coating"/>
      <sheetName val="Calcs and Indices"/>
      <sheetName val="r1phb"/>
      <sheetName val="NRM"/>
      <sheetName val="Avance_Detallado_(ok)4"/>
      <sheetName val="Avance_Resumen_(ok)4"/>
      <sheetName val="RCHH_(ok)_4"/>
      <sheetName val="Comparativo_mecánica_Clima27"/>
      <sheetName val="LL_TT-112"/>
      <sheetName val="LL_TT-212"/>
      <sheetName val="LL_TT-SANDRA12"/>
      <sheetName val="HR-ING_LUIS_SANCHEZ12"/>
      <sheetName val="Avance_Detallado_(ok)5"/>
      <sheetName val="Avance_Resumen_(ok)5"/>
      <sheetName val="RCHH_(ok)_5"/>
      <sheetName val="Hoja_de_Recursos4"/>
      <sheetName val="Provisionales_4"/>
      <sheetName val="BASE_MATERIALES_BASICOS4"/>
      <sheetName val="presupuesto_con_3_conect4"/>
      <sheetName val="Sol_Val4"/>
      <sheetName val="Res_Val4"/>
      <sheetName val="OBRAS_PROV__Y_PRELIM_4"/>
      <sheetName val="EST_ESCALERAS4"/>
      <sheetName val="PC-19053_RP_PURUCHUCO4"/>
      <sheetName val="G_G_4"/>
      <sheetName val="Encofrado_BVR_Unispan4"/>
      <sheetName val="Comparativo_mecánica_Clima28"/>
      <sheetName val="Comparativo_sistema27"/>
      <sheetName val="Electricidad_-_Climatización27"/>
      <sheetName val="Electricidad___Climatización27"/>
      <sheetName val="ANALISIS_ALQUILER_FERREYROS26"/>
      <sheetName val="pu_Estructuras26"/>
      <sheetName val="ESTACIONAM_26"/>
      <sheetName val="OBRAS_EXT_26"/>
      <sheetName val="Curva_S_DAMRAISE-Central26"/>
      <sheetName val="00-043_dat16"/>
      <sheetName val="Comparativo_climatización_Cin17"/>
      <sheetName val="OBRA_CIVIL13"/>
      <sheetName val="ESTRUCTURA_DE_HORMIGON13"/>
      <sheetName val="INSTALACION_ELECTRICA13"/>
      <sheetName val="EAR_HRS13"/>
      <sheetName val="EAR_%13"/>
      <sheetName val="PLN_HRS13"/>
      <sheetName val="PLN_MNP13"/>
      <sheetName val="PLN_%13"/>
      <sheetName val="SPENT_MNP13"/>
      <sheetName val="ITEM_1,2,5,6,8,10,11,1213"/>
      <sheetName val="LL_TT-113"/>
      <sheetName val="LL_TT-213"/>
      <sheetName val="LL_TT-SANDRA13"/>
      <sheetName val="HR-ING_LUIS_SANCHEZ13"/>
      <sheetName val="Avance_Detallado_(ok)6"/>
      <sheetName val="Avance_Resumen_(ok)6"/>
      <sheetName val="RCHH_(ok)_6"/>
      <sheetName val="presupuesto_con_3_conect5"/>
      <sheetName val="Sol_Val5"/>
      <sheetName val="Res_Val5"/>
      <sheetName val="OBRAS_PROV__Y_PRELIM_5"/>
      <sheetName val="EST_ESCALERAS5"/>
      <sheetName val="PC-19053_RP_PURUCHUCO5"/>
      <sheetName val="G_G_5"/>
      <sheetName val="Hoja_de_Recursos5"/>
      <sheetName val="Provisionales_5"/>
      <sheetName val="BASE_MATERIALES_BASICOS5"/>
      <sheetName val="Encofrado_BVR_Unispan5"/>
      <sheetName val="3_2_COLUMNA_C-2_NO_IMP4"/>
      <sheetName val="Datos-No_imprimir4"/>
      <sheetName val="Comparativo_mecánica_Clima29"/>
      <sheetName val="Comparativo_sistema28"/>
      <sheetName val="Electricidad_-_Climatización28"/>
      <sheetName val="Electricidad___Climatización28"/>
      <sheetName val="ANALISIS_ALQUILER_FERREYROS27"/>
      <sheetName val="pu_Estructuras27"/>
      <sheetName val="ESTACIONAM_27"/>
      <sheetName val="OBRAS_EXT_27"/>
      <sheetName val="Curva_S_DAMRAISE-Central27"/>
      <sheetName val="00-043_dat17"/>
      <sheetName val="Comparativo_climatización_Cin18"/>
      <sheetName val="OBRA_CIVIL14"/>
      <sheetName val="ESTRUCTURA_DE_HORMIGON14"/>
      <sheetName val="INSTALACION_ELECTRICA14"/>
      <sheetName val="EAR_HRS14"/>
      <sheetName val="EAR_%14"/>
      <sheetName val="PLN_HRS14"/>
      <sheetName val="PLN_MNP14"/>
      <sheetName val="PLN_%14"/>
      <sheetName val="SPENT_MNP14"/>
      <sheetName val="ITEM_1,2,5,6,8,10,11,1214"/>
      <sheetName val="LL_TT-114"/>
      <sheetName val="LL_TT-214"/>
      <sheetName val="LL_TT-SANDRA14"/>
      <sheetName val="HR-ING_LUIS_SANCHEZ14"/>
      <sheetName val="Avance_Detallado_(ok)7"/>
      <sheetName val="Avance_Resumen_(ok)7"/>
      <sheetName val="RCHH_(ok)_7"/>
      <sheetName val="Hoja_de_Recursos6"/>
      <sheetName val="Provisionales_6"/>
      <sheetName val="BASE_MATERIALES_BASICOS6"/>
      <sheetName val="presupuesto_con_3_conect6"/>
      <sheetName val="Sol_Val6"/>
      <sheetName val="Res_Val6"/>
      <sheetName val="OBRAS_PROV__Y_PRELIM_6"/>
      <sheetName val="EST_ESCALERAS6"/>
      <sheetName val="PC-19053_RP_PURUCHUCO6"/>
      <sheetName val="G_G_6"/>
      <sheetName val="Encofrado_BVR_Unispan6"/>
      <sheetName val="3_2_COLUMNA_C-2_NO_IMP5"/>
      <sheetName val="Datos-No_imprimir5"/>
      <sheetName val="ANÁLISIS_GG10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/>
      <sheetData sheetId="193"/>
      <sheetData sheetId="194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/>
      <sheetData sheetId="390"/>
      <sheetData sheetId="39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 refreshError="1"/>
      <sheetData sheetId="427"/>
      <sheetData sheetId="428"/>
      <sheetData sheetId="429"/>
      <sheetData sheetId="430"/>
      <sheetData sheetId="431"/>
      <sheetData sheetId="432"/>
      <sheetData sheetId="433" refreshError="1"/>
      <sheetData sheetId="434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 refreshError="1"/>
      <sheetData sheetId="472" refreshError="1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4"/>
      <sheetName val="Control Flujo de caja"/>
      <sheetName val="Flujo de caja PRESU"/>
      <sheetName val="PPTO DETA"/>
      <sheetName val="Proyectado"/>
      <sheetName val="Flujo de caja Proyectado (RO)"/>
      <sheetName val="Compras"/>
      <sheetName val="Base compras (GyB)"/>
      <sheetName val="Contabilidad"/>
      <sheetName val="Base contabilidad"/>
      <sheetName val="Maestro referencias proyecto"/>
      <sheetName val="CURVA S"/>
      <sheetName val="Hoja1"/>
      <sheetName val="Hoja2"/>
    </sheetNames>
    <sheetDataSet>
      <sheetData sheetId="0" refreshError="1"/>
      <sheetData sheetId="1"/>
      <sheetData sheetId="2">
        <row r="21">
          <cell r="F21">
            <v>0</v>
          </cell>
        </row>
        <row r="79">
          <cell r="D79">
            <v>-375893577.23055434</v>
          </cell>
        </row>
      </sheetData>
      <sheetData sheetId="3">
        <row r="6">
          <cell r="B6" t="str">
            <v>ITEM</v>
          </cell>
        </row>
      </sheetData>
      <sheetData sheetId="4" refreshError="1"/>
      <sheetData sheetId="5">
        <row r="19">
          <cell r="B19" t="str">
            <v>ITEM</v>
          </cell>
        </row>
      </sheetData>
      <sheetData sheetId="6">
        <row r="13">
          <cell r="B13" t="str">
            <v>ITEM</v>
          </cell>
        </row>
      </sheetData>
      <sheetData sheetId="7">
        <row r="2">
          <cell r="AY2">
            <v>50</v>
          </cell>
        </row>
      </sheetData>
      <sheetData sheetId="8">
        <row r="13">
          <cell r="C13" t="str">
            <v>Codigo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>
        <row r="6">
          <cell r="G6">
            <v>548028650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RROL MITCHEL MARUGG NUÑEZ" id="{CA4FA16D-9A8B-477D-8838-48EE75F2A194}" userId="S::emmarugg@nortonei.com::9758d02c-859a-461d-b69b-ecc85536e9ad" providerId="AD"/>
  <person displayName="GERALDINE OROZCO SANJUAN" id="{13313934-5EBF-470C-9D1E-8CE69ECE194C}" userId="S::gorozco@losblancoscm.com::4040332e-15e6-47e8-93c0-ff8b4cf73e65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V7" dT="2026-06-12T22:18:27.91" personId="{13313934-5EBF-470C-9D1E-8CE69ECE194C}" id="{FA8CE103-3A59-41AF-9D5D-53645780F839}">
    <text>El cliente autorizó pasar el corte con las unidades pintadas y soldadas que estan para despacho en lo que nos autoriza enviar a obra.</text>
  </threadedComment>
  <threadedComment ref="S27" dT="2026-04-28T20:26:48.08" personId="{CA4FA16D-9A8B-477D-8838-48EE75F2A194}" id="{871A935E-01FF-4937-8ED8-EDD9E9F94039}">
    <text>Aterrizar valor con michelle</text>
  </threadedComment>
  <threadedComment ref="X27" dT="2026-04-28T20:26:48.08" personId="{CA4FA16D-9A8B-477D-8838-48EE75F2A194}" id="{1F5E68BB-5E11-4BB1-86A2-17298FF8395A}">
    <text>Aterrizar valor con michelle</text>
  </threadedComment>
  <threadedComment ref="AC27" dT="2026-04-28T20:26:48.08" personId="{CA4FA16D-9A8B-477D-8838-48EE75F2A194}" id="{E6FD0EBE-4451-4F31-9194-DCB9FD0B2CF7}">
    <text>Aterrizar valor con michelle</text>
  </threadedComment>
  <threadedComment ref="AH27" dT="2026-04-28T20:26:48.08" personId="{CA4FA16D-9A8B-477D-8838-48EE75F2A194}" id="{4073FF9B-37BC-42F2-8B23-B777472070AB}">
    <text>Aterrizar valor con michelle</text>
  </threadedComment>
  <threadedComment ref="AM27" dT="2026-04-28T20:26:48.08" personId="{CA4FA16D-9A8B-477D-8838-48EE75F2A194}" id="{2C0AC7BD-72A8-48C2-85A9-46CDA9A8BE94}">
    <text>Aterrizar valor con michelle</text>
  </threadedComment>
  <threadedComment ref="AH28" dT="2026-09-01T14:27:47.81" personId="{CA4FA16D-9A8B-477D-8838-48EE75F2A194}" id="{DD97E25D-0561-4A29-BC6B-D972AAA56BB6}">
    <text>Revisar optimización de horas extras</text>
  </threadedComment>
  <threadedComment ref="J59" dT="2026-05-05T13:49:22.56" personId="{CA4FA16D-9A8B-477D-8838-48EE75F2A194}" id="{F6CBEED1-1716-403B-A82F-64A76CB3230C}">
    <text xml:space="preserve">Meter el Iva porque es pleno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S20" dT="2026-04-28T20:26:48.08" personId="{CA4FA16D-9A8B-477D-8838-48EE75F2A194}" id="{AC68A12D-5C3E-4B56-B5F4-D7F401D53896}">
    <text>Aterrizar valor con michelle</text>
  </threadedComment>
  <threadedComment ref="X20" dT="2026-04-28T20:26:48.08" personId="{CA4FA16D-9A8B-477D-8838-48EE75F2A194}" id="{0BF63A96-EE69-4FE9-9837-C0368EC3DD35}">
    <text>Aterrizar valor con michelle</text>
  </threadedComment>
  <threadedComment ref="AC20" dT="2026-04-28T20:26:48.08" personId="{CA4FA16D-9A8B-477D-8838-48EE75F2A194}" id="{937F6365-9D0D-4D05-96DB-15395954D7BF}">
    <text>Aterrizar valor con michelle</text>
  </threadedComment>
  <threadedComment ref="AH20" dT="2026-04-28T20:26:48.08" personId="{CA4FA16D-9A8B-477D-8838-48EE75F2A194}" id="{1E45BC23-7E44-49CB-BD48-6DF1EBF57A74}">
    <text>Aterrizar valor con michelle</text>
  </threadedComment>
  <threadedComment ref="J51" dT="2026-05-05T13:49:22.56" personId="{CA4FA16D-9A8B-477D-8838-48EE75F2A194}" id="{5E115E4C-30F9-43A4-A567-982ACAEFB090}">
    <text xml:space="preserve">Meter el Iva porque es pleno
</text>
  </threadedComment>
  <threadedComment ref="V54" dT="2026-06-02T15:14:32.98" personId="{CA4FA16D-9A8B-477D-8838-48EE75F2A194}" id="{5D71C7B1-E4FD-4758-9DD4-EF9332A3E91F}">
    <text>Revisar los costos de transportes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D73" dT="2026-05-05T13:49:22.56" personId="{CA4FA16D-9A8B-477D-8838-48EE75F2A194}" id="{5931A8CD-F74E-48CE-B8A8-C27295FB1669}">
    <text xml:space="preserve">Meter el Iva porque es pleno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V7" dT="2026-06-12T22:18:27.91" personId="{13313934-5EBF-470C-9D1E-8CE69ECE194C}" id="{5C411CF8-95E6-427F-987A-F72068CADB68}">
    <text>El cliente autorizó pasar el corte con las unidades pintadas y soldadas que estan para despacho en lo que nos autoriza enviar a obra.</text>
  </threadedComment>
  <threadedComment ref="S27" dT="2026-04-28T20:26:48.08" personId="{CA4FA16D-9A8B-477D-8838-48EE75F2A194}" id="{D77DC988-9203-43D3-B431-13D553A97202}">
    <text>Aterrizar valor con michelle</text>
  </threadedComment>
  <threadedComment ref="X27" dT="2026-04-28T20:26:48.08" personId="{CA4FA16D-9A8B-477D-8838-48EE75F2A194}" id="{7D48C685-91A9-4EE6-B762-58EAD0404E39}">
    <text>Aterrizar valor con michelle</text>
  </threadedComment>
  <threadedComment ref="AC27" dT="2026-04-28T20:26:48.08" personId="{CA4FA16D-9A8B-477D-8838-48EE75F2A194}" id="{D895E5B8-064A-4FA3-8D01-38A976BEE6E3}">
    <text>Aterrizar valor con michelle</text>
  </threadedComment>
  <threadedComment ref="AH27" dT="2026-04-28T20:26:48.08" personId="{CA4FA16D-9A8B-477D-8838-48EE75F2A194}" id="{B6F796CC-E7F1-4A77-B30E-09533DA51F9F}">
    <text>Aterrizar valor con michelle</text>
  </threadedComment>
  <threadedComment ref="AM27" dT="2026-04-28T20:26:48.08" personId="{CA4FA16D-9A8B-477D-8838-48EE75F2A194}" id="{A33D3B94-5BA0-49ED-959C-9C9DE13D8891}">
    <text>Aterrizar valor con michelle</text>
  </threadedComment>
  <threadedComment ref="AR27" dT="2026-04-28T20:26:48.08" personId="{CA4FA16D-9A8B-477D-8838-48EE75F2A194}" id="{0F205181-B18C-4E59-8311-ABF493B44D1A}">
    <text>Aterrizar valor con michelle</text>
  </threadedComment>
  <threadedComment ref="AH28" dT="2026-09-01T14:27:47.81" personId="{CA4FA16D-9A8B-477D-8838-48EE75F2A194}" id="{401F68F0-063B-4798-A1CC-CED35DEB7C03}">
    <text>Revisar optimización de horas extras</text>
  </threadedComment>
  <threadedComment ref="J59" dT="2026-05-05T13:49:22.56" personId="{CA4FA16D-9A8B-477D-8838-48EE75F2A194}" id="{B829816B-81E6-4D16-9F81-CE9D6A79412B}">
    <text xml:space="preserve">Meter el Iva porque es pleno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V7" dT="2026-06-12T22:18:27.91" personId="{13313934-5EBF-470C-9D1E-8CE69ECE194C}" id="{A40C6C8C-AF0C-4BE9-845E-3F923B56C7F9}">
    <text>El cliente autorizó pasar el corte con las unidades pintadas y soldadas que estan para despacho en lo que nos autoriza enviar a obra.</text>
  </threadedComment>
  <threadedComment ref="S27" dT="2026-04-28T20:26:48.08" personId="{CA4FA16D-9A8B-477D-8838-48EE75F2A194}" id="{ACE1E47A-4744-4450-AFA9-6D42477001B0}">
    <text>Aterrizar valor con michelle</text>
  </threadedComment>
  <threadedComment ref="X27" dT="2026-04-28T20:26:48.08" personId="{CA4FA16D-9A8B-477D-8838-48EE75F2A194}" id="{BDF8F652-A963-442A-947E-F5F171511AB2}">
    <text>Aterrizar valor con michelle</text>
  </threadedComment>
  <threadedComment ref="AC27" dT="2026-04-28T20:26:48.08" personId="{CA4FA16D-9A8B-477D-8838-48EE75F2A194}" id="{D628CF4C-C3B3-49E4-8ECC-8685B1A81436}">
    <text>Aterrizar valor con michelle</text>
  </threadedComment>
  <threadedComment ref="AH27" dT="2026-04-28T20:26:48.08" personId="{CA4FA16D-9A8B-477D-8838-48EE75F2A194}" id="{BF899EDF-86D9-49AE-A437-7908FEC59AF5}">
    <text>Aterrizar valor con michelle</text>
  </threadedComment>
  <threadedComment ref="AM27" dT="2026-04-28T20:26:48.08" personId="{CA4FA16D-9A8B-477D-8838-48EE75F2A194}" id="{1AF1D732-0B22-44A7-9C99-6AB3915D67CE}">
    <text>Aterrizar valor con michelle</text>
  </threadedComment>
  <threadedComment ref="AR27" dT="2026-04-28T20:26:48.08" personId="{CA4FA16D-9A8B-477D-8838-48EE75F2A194}" id="{4FAFAFCB-75EA-4823-BB7E-187BC08EC964}">
    <text>Aterrizar valor con michelle</text>
  </threadedComment>
  <threadedComment ref="J59" dT="2026-05-05T13:49:22.56" personId="{CA4FA16D-9A8B-477D-8838-48EE75F2A194}" id="{00E00FF7-7AC8-4914-81BB-39ACD6C6C627}">
    <text xml:space="preserve">Meter el Iva porque es pleno
</text>
  </threadedComment>
  <threadedComment ref="AH62" dT="2026-09-01T14:11:58.59" personId="{CA4FA16D-9A8B-477D-8838-48EE75F2A194}" id="{65519F7E-AF9D-4A83-96BB-D101C7BB6AB7}">
    <text>actualizar</text>
  </threadedComment>
  <threadedComment ref="AH62" dT="2026-09-01T14:14:27.02" personId="{CA4FA16D-9A8B-477D-8838-48EE75F2A194}" id="{19D67A5D-30EF-4C7C-8BCA-0DE0A11A11A2}" parentId="{65519F7E-AF9D-4A83-96BB-D101C7BB6AB7}">
    <text>Incluir la división por talleres</text>
  </threadedComment>
</ThreadedComments>
</file>

<file path=xl/threadedComments/threadedComment6.xml><?xml version="1.0" encoding="utf-8"?>
<ThreadedComments xmlns="http://schemas.microsoft.com/office/spreadsheetml/2018/threadedcomments" xmlns:x="http://schemas.openxmlformats.org/spreadsheetml/2006/main">
  <threadedComment ref="S17" dT="2026-04-28T20:26:48.08" personId="{CA4FA16D-9A8B-477D-8838-48EE75F2A194}" id="{EE6F29A9-09A8-476D-8DE5-2208731648C2}">
    <text>Aterrizar valor con michelle</text>
  </threadedComment>
  <threadedComment ref="X17" dT="2026-04-28T20:26:48.08" personId="{CA4FA16D-9A8B-477D-8838-48EE75F2A194}" id="{1D472CBC-73D8-4FEE-AF56-16C44928422E}">
    <text>Aterrizar valor con michelle</text>
  </threadedComment>
  <threadedComment ref="AC17" dT="2026-04-28T20:26:48.08" personId="{CA4FA16D-9A8B-477D-8838-48EE75F2A194}" id="{37752E44-72B9-4870-8478-F844DF56EA49}">
    <text>Aterrizar valor con michelle</text>
  </threadedComment>
  <threadedComment ref="AH17" dT="2026-04-28T20:26:48.08" personId="{CA4FA16D-9A8B-477D-8838-48EE75F2A194}" id="{798B7FCB-3617-4657-9997-E5B0BD358859}">
    <text>Aterrizar valor con michelle</text>
  </threadedComment>
  <threadedComment ref="J49" dT="2026-05-05T13:49:22.56" personId="{CA4FA16D-9A8B-477D-8838-48EE75F2A194}" id="{2B261627-9B28-45EE-B67C-E0817626E665}">
    <text xml:space="preserve">Meter el Iva porque es pleno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Relationship Id="rId4" Type="http://schemas.microsoft.com/office/2017/10/relationships/threadedComment" Target="../threadedComments/threadedComment3.xml"/></Relationship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5.xml"/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6.xml"/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E5D64-FE69-4029-904A-4D741BBEF3CC}">
  <sheetPr>
    <tabColor theme="8" tint="0.79998168889431442"/>
  </sheetPr>
  <dimension ref="B5:AN109"/>
  <sheetViews>
    <sheetView topLeftCell="A4" zoomScale="70" zoomScaleNormal="70" workbookViewId="0">
      <pane xSplit="3" ySplit="11" topLeftCell="AC18" activePane="bottomRight" state="frozen"/>
      <selection pane="topRight" activeCell="D4" sqref="D4"/>
      <selection pane="bottomLeft" activeCell="A8" sqref="A8"/>
      <selection pane="bottomRight" activeCell="AH28" sqref="AH28"/>
    </sheetView>
  </sheetViews>
  <sheetFormatPr baseColWidth="10" defaultColWidth="11.5" defaultRowHeight="12" customHeight="1" outlineLevelRow="1" x14ac:dyDescent="0.2"/>
  <cols>
    <col min="3" max="3" width="58.83203125" customWidth="1"/>
    <col min="4" max="8" width="24.5" customWidth="1"/>
    <col min="9" max="9" width="30.33203125" customWidth="1"/>
    <col min="10" max="10" width="31.83203125" customWidth="1"/>
    <col min="11" max="11" width="14.5" customWidth="1"/>
    <col min="12" max="12" width="16.5" customWidth="1"/>
    <col min="13" max="13" width="24.1640625" customWidth="1"/>
    <col min="14" max="14" width="19" customWidth="1"/>
    <col min="15" max="15" width="17.5" customWidth="1"/>
    <col min="16" max="16" width="21.1640625" customWidth="1"/>
    <col min="17" max="17" width="17.6640625" customWidth="1"/>
    <col min="18" max="18" width="9.1640625" bestFit="1" customWidth="1"/>
    <col min="19" max="19" width="16.5" bestFit="1" customWidth="1"/>
    <col min="20" max="20" width="20.83203125" customWidth="1"/>
    <col min="21" max="21" width="16.5" bestFit="1" customWidth="1"/>
    <col min="22" max="22" width="20" customWidth="1"/>
    <col min="23" max="23" width="16.5" bestFit="1" customWidth="1"/>
    <col min="24" max="24" width="18.5" customWidth="1"/>
    <col min="25" max="25" width="21.6640625" customWidth="1"/>
    <col min="26" max="26" width="16.5" bestFit="1" customWidth="1"/>
    <col min="27" max="27" width="21.6640625" customWidth="1"/>
    <col min="28" max="28" width="16.5" bestFit="1" customWidth="1"/>
    <col min="29" max="29" width="20.83203125" customWidth="1"/>
    <col min="30" max="30" width="25.33203125" customWidth="1"/>
    <col min="31" max="31" width="20.33203125" customWidth="1"/>
    <col min="32" max="32" width="20.6640625" customWidth="1"/>
    <col min="33" max="33" width="19.1640625" customWidth="1"/>
    <col min="34" max="34" width="17.83203125" customWidth="1"/>
    <col min="35" max="35" width="17.5" customWidth="1"/>
    <col min="36" max="36" width="9.1640625" bestFit="1" customWidth="1"/>
    <col min="37" max="37" width="24.6640625" customWidth="1"/>
    <col min="38" max="38" width="15.5" customWidth="1"/>
    <col min="39" max="39" width="18.83203125" customWidth="1"/>
    <col min="40" max="40" width="19.5" customWidth="1"/>
  </cols>
  <sheetData>
    <row r="5" spans="2:40" ht="12" customHeight="1" x14ac:dyDescent="0.2">
      <c r="J5" s="369">
        <f t="shared" ref="J5:AN5" si="0">J12</f>
        <v>9</v>
      </c>
      <c r="K5" s="369">
        <f t="shared" si="0"/>
        <v>10</v>
      </c>
      <c r="L5" s="369">
        <f t="shared" si="0"/>
        <v>11</v>
      </c>
      <c r="M5" s="369">
        <f t="shared" si="0"/>
        <v>12</v>
      </c>
      <c r="N5" s="369">
        <f t="shared" si="0"/>
        <v>13</v>
      </c>
      <c r="O5" s="369">
        <f t="shared" si="0"/>
        <v>14</v>
      </c>
      <c r="P5" s="369">
        <f t="shared" si="0"/>
        <v>15</v>
      </c>
      <c r="Q5" s="369">
        <f t="shared" si="0"/>
        <v>16</v>
      </c>
      <c r="R5" s="369">
        <f t="shared" si="0"/>
        <v>17</v>
      </c>
      <c r="S5" s="369">
        <f t="shared" si="0"/>
        <v>18</v>
      </c>
      <c r="T5" s="369">
        <f t="shared" si="0"/>
        <v>19</v>
      </c>
      <c r="U5" s="369">
        <f t="shared" si="0"/>
        <v>20</v>
      </c>
      <c r="V5" s="369">
        <f t="shared" si="0"/>
        <v>21</v>
      </c>
      <c r="W5" s="369">
        <f t="shared" si="0"/>
        <v>22</v>
      </c>
      <c r="X5" s="369">
        <f t="shared" si="0"/>
        <v>23</v>
      </c>
      <c r="Y5" s="369">
        <f t="shared" si="0"/>
        <v>24</v>
      </c>
      <c r="Z5" s="369">
        <f t="shared" si="0"/>
        <v>25</v>
      </c>
      <c r="AA5" s="369">
        <f t="shared" si="0"/>
        <v>26</v>
      </c>
      <c r="AB5" s="369">
        <f t="shared" si="0"/>
        <v>27</v>
      </c>
      <c r="AC5" s="369">
        <f t="shared" si="0"/>
        <v>28</v>
      </c>
      <c r="AD5" s="369">
        <f t="shared" si="0"/>
        <v>29</v>
      </c>
      <c r="AE5" s="369">
        <f t="shared" si="0"/>
        <v>30</v>
      </c>
      <c r="AF5" s="369">
        <f t="shared" si="0"/>
        <v>31</v>
      </c>
      <c r="AG5" s="369">
        <f t="shared" si="0"/>
        <v>32</v>
      </c>
      <c r="AH5" s="369">
        <f t="shared" si="0"/>
        <v>33</v>
      </c>
      <c r="AI5" s="369">
        <f t="shared" si="0"/>
        <v>34</v>
      </c>
      <c r="AJ5" s="369">
        <f t="shared" si="0"/>
        <v>35</v>
      </c>
      <c r="AK5" s="369">
        <f t="shared" si="0"/>
        <v>36</v>
      </c>
      <c r="AL5" s="369">
        <f t="shared" si="0"/>
        <v>37</v>
      </c>
      <c r="AM5" s="369">
        <f t="shared" si="0"/>
        <v>38</v>
      </c>
      <c r="AN5" s="369">
        <f t="shared" si="0"/>
        <v>39</v>
      </c>
    </row>
    <row r="6" spans="2:40" ht="12" customHeight="1" thickBot="1" x14ac:dyDescent="0.25">
      <c r="I6" s="370" t="s">
        <v>6</v>
      </c>
      <c r="J6" s="370" t="s">
        <v>4</v>
      </c>
      <c r="K6" s="371" t="s">
        <v>7</v>
      </c>
      <c r="L6" s="371" t="s">
        <v>8</v>
      </c>
      <c r="M6" s="371" t="s">
        <v>9</v>
      </c>
      <c r="N6" s="371" t="s">
        <v>10</v>
      </c>
      <c r="O6" s="372" t="s">
        <v>11</v>
      </c>
      <c r="P6" s="371" t="s">
        <v>12</v>
      </c>
      <c r="Q6" s="371" t="s">
        <v>13</v>
      </c>
      <c r="R6" s="371" t="s">
        <v>14</v>
      </c>
      <c r="S6" s="371" t="s">
        <v>15</v>
      </c>
      <c r="T6" s="372" t="s">
        <v>16</v>
      </c>
      <c r="U6" s="371" t="s">
        <v>17</v>
      </c>
      <c r="V6" s="371" t="s">
        <v>18</v>
      </c>
      <c r="W6" s="371" t="s">
        <v>19</v>
      </c>
      <c r="X6" s="371" t="s">
        <v>20</v>
      </c>
      <c r="Y6" s="372" t="s">
        <v>21</v>
      </c>
      <c r="Z6" s="371" t="s">
        <v>22</v>
      </c>
      <c r="AA6" s="371" t="s">
        <v>23</v>
      </c>
      <c r="AB6" s="371" t="s">
        <v>24</v>
      </c>
      <c r="AC6" s="371" t="s">
        <v>25</v>
      </c>
      <c r="AD6" s="372" t="s">
        <v>26</v>
      </c>
      <c r="AE6" s="371" t="s">
        <v>27</v>
      </c>
      <c r="AF6" s="371" t="s">
        <v>28</v>
      </c>
      <c r="AG6" s="371" t="s">
        <v>29</v>
      </c>
      <c r="AH6" s="371" t="s">
        <v>30</v>
      </c>
      <c r="AI6" s="372" t="s">
        <v>31</v>
      </c>
      <c r="AJ6" s="371" t="s">
        <v>27</v>
      </c>
      <c r="AK6" s="371" t="s">
        <v>28</v>
      </c>
      <c r="AL6" s="371" t="s">
        <v>29</v>
      </c>
      <c r="AM6" s="371" t="s">
        <v>30</v>
      </c>
      <c r="AN6" s="372" t="s">
        <v>230</v>
      </c>
    </row>
    <row r="7" spans="2:40" ht="12" customHeight="1" x14ac:dyDescent="0.2">
      <c r="C7" s="373" t="s">
        <v>175</v>
      </c>
      <c r="D7" s="374">
        <v>530000</v>
      </c>
      <c r="E7" s="374" t="s">
        <v>125</v>
      </c>
      <c r="F7" s="375">
        <v>4753.95</v>
      </c>
      <c r="G7" s="375">
        <f>+D7*F7</f>
        <v>2519593500</v>
      </c>
      <c r="K7" s="376"/>
      <c r="L7" s="376"/>
      <c r="M7" s="376"/>
      <c r="N7" s="376"/>
      <c r="O7" s="376">
        <f>SUM(K7:N7)</f>
        <v>0</v>
      </c>
      <c r="P7" s="376"/>
      <c r="Q7" s="376"/>
      <c r="R7" s="376"/>
      <c r="S7" s="376">
        <v>0</v>
      </c>
      <c r="T7" s="376">
        <f>SUM(P7:S7)</f>
        <v>0</v>
      </c>
      <c r="U7" s="376"/>
      <c r="V7" s="376"/>
      <c r="W7" s="376">
        <v>54616.82</v>
      </c>
      <c r="X7" s="376"/>
      <c r="Y7" s="376">
        <f>SUM(U7:X7)</f>
        <v>54616.82</v>
      </c>
      <c r="Z7" s="376"/>
      <c r="AA7" s="376">
        <v>23957.46</v>
      </c>
      <c r="AB7" s="376"/>
      <c r="AC7" s="376">
        <v>25521.41</v>
      </c>
      <c r="AD7" s="377">
        <f>SUM(Z7:AC7)</f>
        <v>49478.869999999995</v>
      </c>
      <c r="AE7" s="376"/>
      <c r="AF7" s="376">
        <v>80000</v>
      </c>
      <c r="AG7" s="376"/>
      <c r="AH7" s="376">
        <v>100000</v>
      </c>
      <c r="AI7" s="377">
        <f>SUM(AE7:AH7)</f>
        <v>180000</v>
      </c>
      <c r="AJ7" s="376"/>
      <c r="AK7" s="376">
        <v>100000</v>
      </c>
      <c r="AL7" s="376"/>
      <c r="AM7" s="376">
        <v>145904.31</v>
      </c>
      <c r="AN7" s="377">
        <f>SUM(AJ7:AM7)</f>
        <v>245904.31</v>
      </c>
    </row>
    <row r="8" spans="2:40" ht="12" customHeight="1" x14ac:dyDescent="0.2">
      <c r="I8" s="378">
        <f>(O7+T7+Y7+AD7+AI7)*J8</f>
        <v>1569060495.8700001</v>
      </c>
      <c r="J8" s="379">
        <v>5523</v>
      </c>
      <c r="M8" s="380">
        <v>870811200</v>
      </c>
      <c r="O8" s="33">
        <f>M8</f>
        <v>870811200</v>
      </c>
      <c r="T8" s="33">
        <f t="shared" ref="T8:AN8" si="1">$J$8*T7</f>
        <v>0</v>
      </c>
      <c r="U8" s="33">
        <f t="shared" si="1"/>
        <v>0</v>
      </c>
      <c r="V8" s="33">
        <f t="shared" si="1"/>
        <v>0</v>
      </c>
      <c r="W8" s="33">
        <f t="shared" si="1"/>
        <v>301648696.86000001</v>
      </c>
      <c r="X8" s="33">
        <f t="shared" si="1"/>
        <v>0</v>
      </c>
      <c r="Y8" s="33">
        <f t="shared" si="1"/>
        <v>301648696.86000001</v>
      </c>
      <c r="Z8" s="33">
        <f t="shared" si="1"/>
        <v>0</v>
      </c>
      <c r="AA8" s="33">
        <f t="shared" si="1"/>
        <v>132317051.58</v>
      </c>
      <c r="AB8" s="33">
        <f t="shared" si="1"/>
        <v>0</v>
      </c>
      <c r="AC8" s="33">
        <f t="shared" si="1"/>
        <v>140954747.43000001</v>
      </c>
      <c r="AD8" s="33">
        <f t="shared" si="1"/>
        <v>273271799.00999999</v>
      </c>
      <c r="AE8" s="33">
        <f t="shared" si="1"/>
        <v>0</v>
      </c>
      <c r="AF8" s="33">
        <f t="shared" si="1"/>
        <v>441840000</v>
      </c>
      <c r="AG8" s="33">
        <f t="shared" si="1"/>
        <v>0</v>
      </c>
      <c r="AH8" s="33">
        <f t="shared" si="1"/>
        <v>552300000</v>
      </c>
      <c r="AI8" s="33">
        <f t="shared" si="1"/>
        <v>994140000</v>
      </c>
      <c r="AJ8" s="33">
        <f t="shared" si="1"/>
        <v>0</v>
      </c>
      <c r="AK8" s="33">
        <f t="shared" si="1"/>
        <v>552300000</v>
      </c>
      <c r="AL8" s="33">
        <f t="shared" si="1"/>
        <v>0</v>
      </c>
      <c r="AM8" s="33">
        <f t="shared" si="1"/>
        <v>805829504.13</v>
      </c>
      <c r="AN8" s="33">
        <f t="shared" si="1"/>
        <v>1358129504.1299999</v>
      </c>
    </row>
    <row r="12" spans="2:40" ht="12" customHeight="1" x14ac:dyDescent="0.2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  <c r="V12">
        <v>21</v>
      </c>
      <c r="W12">
        <v>22</v>
      </c>
      <c r="X12">
        <v>23</v>
      </c>
      <c r="Y12">
        <v>24</v>
      </c>
      <c r="Z12">
        <v>25</v>
      </c>
      <c r="AA12">
        <v>26</v>
      </c>
      <c r="AB12">
        <v>27</v>
      </c>
      <c r="AC12">
        <v>28</v>
      </c>
      <c r="AD12">
        <v>29</v>
      </c>
      <c r="AE12">
        <v>30</v>
      </c>
      <c r="AF12">
        <v>31</v>
      </c>
      <c r="AG12">
        <v>32</v>
      </c>
      <c r="AH12">
        <v>33</v>
      </c>
      <c r="AI12">
        <v>34</v>
      </c>
      <c r="AJ12">
        <v>35</v>
      </c>
      <c r="AK12">
        <v>36</v>
      </c>
      <c r="AL12">
        <v>37</v>
      </c>
      <c r="AM12">
        <v>38</v>
      </c>
      <c r="AN12">
        <v>39</v>
      </c>
    </row>
    <row r="13" spans="2:40" ht="12" customHeight="1" x14ac:dyDescent="0.2">
      <c r="B13" s="381" t="s">
        <v>0</v>
      </c>
      <c r="C13" s="381" t="s">
        <v>1</v>
      </c>
      <c r="D13" s="382" t="s">
        <v>2</v>
      </c>
      <c r="E13" s="382" t="s">
        <v>3</v>
      </c>
      <c r="F13" s="383" t="s">
        <v>4</v>
      </c>
      <c r="G13" s="383" t="s">
        <v>5</v>
      </c>
      <c r="I13" s="370" t="s">
        <v>6</v>
      </c>
      <c r="J13" s="370" t="s">
        <v>4</v>
      </c>
      <c r="K13" s="371" t="s">
        <v>7</v>
      </c>
      <c r="L13" s="371" t="s">
        <v>8</v>
      </c>
      <c r="M13" s="371" t="s">
        <v>9</v>
      </c>
      <c r="N13" s="371" t="s">
        <v>10</v>
      </c>
      <c r="O13" s="372" t="s">
        <v>11</v>
      </c>
      <c r="P13" s="371" t="s">
        <v>12</v>
      </c>
      <c r="Q13" s="371" t="s">
        <v>13</v>
      </c>
      <c r="R13" s="371" t="s">
        <v>14</v>
      </c>
      <c r="S13" s="371" t="s">
        <v>15</v>
      </c>
      <c r="T13" s="372" t="s">
        <v>16</v>
      </c>
      <c r="U13" s="371" t="s">
        <v>17</v>
      </c>
      <c r="V13" s="371" t="s">
        <v>18</v>
      </c>
      <c r="W13" s="371" t="s">
        <v>19</v>
      </c>
      <c r="X13" s="371" t="s">
        <v>20</v>
      </c>
      <c r="Y13" s="372" t="s">
        <v>21</v>
      </c>
      <c r="Z13" s="371" t="s">
        <v>22</v>
      </c>
      <c r="AA13" s="371" t="s">
        <v>23</v>
      </c>
      <c r="AB13" s="371" t="s">
        <v>24</v>
      </c>
      <c r="AC13" s="371" t="s">
        <v>25</v>
      </c>
      <c r="AD13" s="372" t="s">
        <v>26</v>
      </c>
      <c r="AE13" s="371" t="s">
        <v>27</v>
      </c>
      <c r="AF13" s="371" t="s">
        <v>28</v>
      </c>
      <c r="AG13" s="371" t="s">
        <v>29</v>
      </c>
      <c r="AH13" s="371" t="s">
        <v>30</v>
      </c>
      <c r="AI13" s="372" t="s">
        <v>31</v>
      </c>
      <c r="AJ13" s="371" t="s">
        <v>27</v>
      </c>
      <c r="AK13" s="371" t="s">
        <v>28</v>
      </c>
      <c r="AL13" s="371" t="s">
        <v>29</v>
      </c>
      <c r="AM13" s="371" t="s">
        <v>30</v>
      </c>
      <c r="AN13" s="372" t="s">
        <v>230</v>
      </c>
    </row>
    <row r="14" spans="2:40" ht="12" customHeight="1" x14ac:dyDescent="0.2">
      <c r="B14" s="384">
        <v>1</v>
      </c>
      <c r="C14" s="385" t="s">
        <v>32</v>
      </c>
      <c r="D14" s="385"/>
      <c r="E14" s="385"/>
      <c r="F14" s="385"/>
      <c r="G14" s="385">
        <f>SUM(G15,G22,G26,G29,G39)</f>
        <v>150533984.5625</v>
      </c>
      <c r="I14" s="386">
        <f t="shared" ref="I14:AN14" si="2">SUM(I15,I22,I26,I29,I39)</f>
        <v>155300620.98000002</v>
      </c>
      <c r="J14" s="386">
        <f t="shared" si="2"/>
        <v>123876289</v>
      </c>
      <c r="K14" s="386">
        <f t="shared" si="2"/>
        <v>0</v>
      </c>
      <c r="L14" s="386">
        <f t="shared" si="2"/>
        <v>0</v>
      </c>
      <c r="M14" s="386">
        <f t="shared" si="2"/>
        <v>64463869</v>
      </c>
      <c r="N14" s="386">
        <f t="shared" si="2"/>
        <v>3097443</v>
      </c>
      <c r="O14" s="386">
        <f t="shared" si="2"/>
        <v>67561312</v>
      </c>
      <c r="P14" s="386">
        <f t="shared" si="2"/>
        <v>0</v>
      </c>
      <c r="Q14" s="386">
        <f t="shared" si="2"/>
        <v>0</v>
      </c>
      <c r="R14" s="386">
        <f t="shared" si="2"/>
        <v>0</v>
      </c>
      <c r="S14" s="386">
        <f t="shared" si="2"/>
        <v>10365382</v>
      </c>
      <c r="T14" s="386">
        <f t="shared" si="2"/>
        <v>10365382</v>
      </c>
      <c r="U14" s="386">
        <f t="shared" si="2"/>
        <v>0</v>
      </c>
      <c r="V14" s="386">
        <f t="shared" si="2"/>
        <v>0</v>
      </c>
      <c r="W14" s="386">
        <f t="shared" si="2"/>
        <v>0</v>
      </c>
      <c r="X14" s="386">
        <f t="shared" si="2"/>
        <v>10365382</v>
      </c>
      <c r="Y14" s="386">
        <f t="shared" si="2"/>
        <v>10365382</v>
      </c>
      <c r="Z14" s="386">
        <f t="shared" si="2"/>
        <v>0</v>
      </c>
      <c r="AA14" s="386">
        <f t="shared" si="2"/>
        <v>0</v>
      </c>
      <c r="AB14" s="386">
        <f t="shared" si="2"/>
        <v>0</v>
      </c>
      <c r="AC14" s="386">
        <f t="shared" si="2"/>
        <v>3450000</v>
      </c>
      <c r="AD14" s="386">
        <f t="shared" si="2"/>
        <v>3450000</v>
      </c>
      <c r="AE14" s="386">
        <f t="shared" si="2"/>
        <v>0</v>
      </c>
      <c r="AF14" s="386">
        <f t="shared" si="2"/>
        <v>0</v>
      </c>
      <c r="AG14" s="386">
        <f t="shared" si="2"/>
        <v>0</v>
      </c>
      <c r="AH14" s="386">
        <f t="shared" si="2"/>
        <v>3450000</v>
      </c>
      <c r="AI14" s="386">
        <f t="shared" si="2"/>
        <v>3450000</v>
      </c>
      <c r="AJ14" s="386">
        <f t="shared" si="2"/>
        <v>0</v>
      </c>
      <c r="AK14" s="386">
        <f t="shared" si="2"/>
        <v>48300864.980000004</v>
      </c>
      <c r="AL14" s="386">
        <f t="shared" si="2"/>
        <v>0</v>
      </c>
      <c r="AM14" s="386">
        <f t="shared" si="2"/>
        <v>11807680</v>
      </c>
      <c r="AN14" s="386">
        <f t="shared" si="2"/>
        <v>60108544.980000004</v>
      </c>
    </row>
    <row r="15" spans="2:40" ht="12" customHeight="1" x14ac:dyDescent="0.2">
      <c r="B15" s="387" t="s">
        <v>33</v>
      </c>
      <c r="C15" s="388" t="s">
        <v>34</v>
      </c>
      <c r="D15" s="389">
        <f>SUM(D16:D21)</f>
        <v>6</v>
      </c>
      <c r="E15" s="389">
        <f>SUM(E16:E21)</f>
        <v>0</v>
      </c>
      <c r="F15" s="389">
        <f>SUM(F16:F21)</f>
        <v>18295782.187500004</v>
      </c>
      <c r="G15" s="389">
        <f>SUM(G16:G21)</f>
        <v>18295782.187500004</v>
      </c>
      <c r="I15" s="390">
        <f t="shared" ref="I15:AN15" si="3">SUM(I16:I21)</f>
        <v>13451751</v>
      </c>
      <c r="J15" s="390">
        <f t="shared" si="3"/>
        <v>5917366</v>
      </c>
      <c r="K15" s="390">
        <f t="shared" si="3"/>
        <v>0</v>
      </c>
      <c r="L15" s="390">
        <f t="shared" si="3"/>
        <v>0</v>
      </c>
      <c r="M15" s="390">
        <f t="shared" si="3"/>
        <v>5917366</v>
      </c>
      <c r="N15" s="390">
        <f t="shared" si="3"/>
        <v>0</v>
      </c>
      <c r="O15" s="390">
        <f t="shared" si="3"/>
        <v>5917366</v>
      </c>
      <c r="P15" s="390">
        <f t="shared" si="3"/>
        <v>0</v>
      </c>
      <c r="Q15" s="390">
        <f t="shared" si="3"/>
        <v>0</v>
      </c>
      <c r="R15" s="390">
        <f t="shared" si="3"/>
        <v>0</v>
      </c>
      <c r="S15" s="390">
        <f t="shared" si="3"/>
        <v>0</v>
      </c>
      <c r="T15" s="390">
        <f t="shared" si="3"/>
        <v>0</v>
      </c>
      <c r="U15" s="390">
        <f t="shared" si="3"/>
        <v>0</v>
      </c>
      <c r="V15" s="390">
        <f t="shared" si="3"/>
        <v>0</v>
      </c>
      <c r="W15" s="390">
        <f t="shared" si="3"/>
        <v>0</v>
      </c>
      <c r="X15" s="390">
        <f t="shared" si="3"/>
        <v>0</v>
      </c>
      <c r="Y15" s="390">
        <f t="shared" si="3"/>
        <v>0</v>
      </c>
      <c r="Z15" s="390">
        <f t="shared" si="3"/>
        <v>0</v>
      </c>
      <c r="AA15" s="390">
        <f t="shared" si="3"/>
        <v>0</v>
      </c>
      <c r="AB15" s="390">
        <f t="shared" si="3"/>
        <v>0</v>
      </c>
      <c r="AC15" s="390">
        <f t="shared" si="3"/>
        <v>0</v>
      </c>
      <c r="AD15" s="390">
        <f t="shared" si="3"/>
        <v>0</v>
      </c>
      <c r="AE15" s="390">
        <f t="shared" si="3"/>
        <v>0</v>
      </c>
      <c r="AF15" s="390">
        <f t="shared" si="3"/>
        <v>0</v>
      </c>
      <c r="AG15" s="390">
        <f t="shared" si="3"/>
        <v>0</v>
      </c>
      <c r="AH15" s="390">
        <f t="shared" si="3"/>
        <v>0</v>
      </c>
      <c r="AI15" s="390">
        <f t="shared" si="3"/>
        <v>0</v>
      </c>
      <c r="AJ15" s="390">
        <f t="shared" si="3"/>
        <v>0</v>
      </c>
      <c r="AK15" s="390">
        <f t="shared" si="3"/>
        <v>0</v>
      </c>
      <c r="AL15" s="390">
        <f t="shared" si="3"/>
        <v>0</v>
      </c>
      <c r="AM15" s="390">
        <f t="shared" si="3"/>
        <v>7534385</v>
      </c>
      <c r="AN15" s="390">
        <f t="shared" si="3"/>
        <v>7534385</v>
      </c>
    </row>
    <row r="16" spans="2:40" ht="12" customHeight="1" outlineLevel="1" x14ac:dyDescent="0.2">
      <c r="B16" s="391" t="s">
        <v>35</v>
      </c>
      <c r="C16" s="392" t="s">
        <v>36</v>
      </c>
      <c r="D16" s="374">
        <v>1</v>
      </c>
      <c r="E16" s="374" t="s">
        <v>37</v>
      </c>
      <c r="F16" s="375">
        <v>3512790.18</v>
      </c>
      <c r="G16" s="375">
        <f t="shared" ref="G16:G21" si="4">+D16*F16</f>
        <v>3512790.18</v>
      </c>
      <c r="I16" s="135">
        <f t="shared" ref="I16:I21" si="5">(O16+T16+Y16+AD16+AI16+AN16)</f>
        <v>1844836.12</v>
      </c>
      <c r="J16" s="378">
        <v>516713.12</v>
      </c>
      <c r="K16" s="378"/>
      <c r="L16" s="378"/>
      <c r="M16" s="378">
        <v>516713.12</v>
      </c>
      <c r="N16" s="378"/>
      <c r="O16" s="378">
        <f t="shared" ref="O16:O21" si="6">SUM(K16:N16)</f>
        <v>516713.12</v>
      </c>
      <c r="P16" s="378"/>
      <c r="Q16" s="378"/>
      <c r="R16" s="378"/>
      <c r="S16" s="378"/>
      <c r="T16" s="378">
        <f t="shared" ref="T16:T21" si="7">SUM(P16:S16)</f>
        <v>0</v>
      </c>
      <c r="U16" s="378"/>
      <c r="V16" s="378"/>
      <c r="W16" s="378"/>
      <c r="X16" s="378"/>
      <c r="Y16" s="378">
        <f t="shared" ref="Y16:Y21" si="8">SUM(U16:X16)</f>
        <v>0</v>
      </c>
      <c r="Z16" s="378"/>
      <c r="AA16" s="378"/>
      <c r="AB16" s="378"/>
      <c r="AC16" s="378"/>
      <c r="AD16" s="378">
        <f t="shared" ref="AD16:AD21" si="9">SUM(Z16:AC16)</f>
        <v>0</v>
      </c>
      <c r="AE16" s="378"/>
      <c r="AF16" s="378"/>
      <c r="AG16" s="378"/>
      <c r="AH16" s="378"/>
      <c r="AI16" s="378">
        <f t="shared" ref="AI16:AI21" si="10">SUM(AE16:AH16)</f>
        <v>0</v>
      </c>
      <c r="AJ16" s="378"/>
      <c r="AK16" s="378"/>
      <c r="AL16" s="378"/>
      <c r="AM16" s="378">
        <v>1328123</v>
      </c>
      <c r="AN16" s="378">
        <f t="shared" ref="AN16:AN21" si="11">SUM(AJ16:AM16)</f>
        <v>1328123</v>
      </c>
    </row>
    <row r="17" spans="2:40" ht="12" customHeight="1" outlineLevel="1" x14ac:dyDescent="0.2">
      <c r="B17" s="391" t="s">
        <v>38</v>
      </c>
      <c r="C17" s="392" t="s">
        <v>39</v>
      </c>
      <c r="D17" s="374">
        <v>1</v>
      </c>
      <c r="E17" s="374" t="s">
        <v>37</v>
      </c>
      <c r="F17" s="375">
        <v>3073691.4075000002</v>
      </c>
      <c r="G17" s="375">
        <f t="shared" si="4"/>
        <v>3073691.4075000002</v>
      </c>
      <c r="I17" s="135">
        <f t="shared" si="5"/>
        <v>910373.42999999993</v>
      </c>
      <c r="J17" s="378">
        <v>465741.43</v>
      </c>
      <c r="K17" s="378"/>
      <c r="L17" s="378"/>
      <c r="M17" s="378">
        <v>465741.43</v>
      </c>
      <c r="N17" s="378"/>
      <c r="O17" s="378">
        <f t="shared" si="6"/>
        <v>465741.43</v>
      </c>
      <c r="P17" s="378"/>
      <c r="Q17" s="378"/>
      <c r="R17" s="378"/>
      <c r="S17" s="378"/>
      <c r="T17" s="378">
        <f t="shared" si="7"/>
        <v>0</v>
      </c>
      <c r="U17" s="378"/>
      <c r="V17" s="378"/>
      <c r="W17" s="378"/>
      <c r="X17" s="378"/>
      <c r="Y17" s="378">
        <f t="shared" si="8"/>
        <v>0</v>
      </c>
      <c r="Z17" s="378"/>
      <c r="AA17" s="378"/>
      <c r="AB17" s="378"/>
      <c r="AC17" s="378"/>
      <c r="AD17" s="378">
        <f t="shared" si="9"/>
        <v>0</v>
      </c>
      <c r="AE17" s="378"/>
      <c r="AF17" s="378"/>
      <c r="AG17" s="378"/>
      <c r="AH17" s="378"/>
      <c r="AI17" s="378">
        <f t="shared" si="10"/>
        <v>0</v>
      </c>
      <c r="AJ17" s="378"/>
      <c r="AK17" s="378"/>
      <c r="AL17" s="378"/>
      <c r="AM17" s="378">
        <v>444632</v>
      </c>
      <c r="AN17" s="378">
        <f t="shared" si="11"/>
        <v>444632</v>
      </c>
    </row>
    <row r="18" spans="2:40" ht="12" customHeight="1" outlineLevel="1" x14ac:dyDescent="0.2">
      <c r="B18" s="391" t="s">
        <v>40</v>
      </c>
      <c r="C18" s="392" t="s">
        <v>41</v>
      </c>
      <c r="D18" s="374">
        <v>1</v>
      </c>
      <c r="E18" s="374" t="s">
        <v>37</v>
      </c>
      <c r="F18" s="375">
        <v>2049127.6049999997</v>
      </c>
      <c r="G18" s="375">
        <f t="shared" si="4"/>
        <v>2049127.6049999997</v>
      </c>
      <c r="I18" s="135">
        <f t="shared" si="5"/>
        <v>612043.07000000007</v>
      </c>
      <c r="J18" s="378">
        <v>349306.07</v>
      </c>
      <c r="K18" s="378"/>
      <c r="L18" s="378"/>
      <c r="M18" s="378">
        <v>349306.07</v>
      </c>
      <c r="N18" s="378"/>
      <c r="O18" s="378">
        <f t="shared" si="6"/>
        <v>349306.07</v>
      </c>
      <c r="P18" s="378"/>
      <c r="Q18" s="378"/>
      <c r="R18" s="378"/>
      <c r="S18" s="378"/>
      <c r="T18" s="378">
        <f t="shared" si="7"/>
        <v>0</v>
      </c>
      <c r="U18" s="378"/>
      <c r="V18" s="378"/>
      <c r="W18" s="378"/>
      <c r="X18" s="378"/>
      <c r="Y18" s="378">
        <f t="shared" si="8"/>
        <v>0</v>
      </c>
      <c r="Z18" s="378"/>
      <c r="AA18" s="378"/>
      <c r="AB18" s="378"/>
      <c r="AC18" s="378"/>
      <c r="AD18" s="378">
        <f t="shared" si="9"/>
        <v>0</v>
      </c>
      <c r="AE18" s="378"/>
      <c r="AF18" s="378"/>
      <c r="AG18" s="378"/>
      <c r="AH18" s="378"/>
      <c r="AI18" s="378">
        <f t="shared" si="10"/>
        <v>0</v>
      </c>
      <c r="AJ18" s="378"/>
      <c r="AK18" s="378"/>
      <c r="AL18" s="378"/>
      <c r="AM18" s="378">
        <v>262737</v>
      </c>
      <c r="AN18" s="378">
        <f t="shared" si="11"/>
        <v>262737</v>
      </c>
    </row>
    <row r="19" spans="2:40" ht="12" customHeight="1" outlineLevel="1" x14ac:dyDescent="0.2">
      <c r="B19" s="391" t="s">
        <v>42</v>
      </c>
      <c r="C19" s="392" t="s">
        <v>43</v>
      </c>
      <c r="D19" s="374">
        <v>1</v>
      </c>
      <c r="E19" s="374" t="s">
        <v>37</v>
      </c>
      <c r="F19" s="375">
        <v>3073691.4075000002</v>
      </c>
      <c r="G19" s="375">
        <f t="shared" si="4"/>
        <v>3073691.4075000002</v>
      </c>
      <c r="I19" s="135">
        <f t="shared" si="5"/>
        <v>7879684.8599999994</v>
      </c>
      <c r="J19" s="378">
        <v>4184037.86</v>
      </c>
      <c r="K19" s="378"/>
      <c r="L19" s="378"/>
      <c r="M19" s="378">
        <v>4184037.86</v>
      </c>
      <c r="N19" s="378"/>
      <c r="O19" s="378">
        <f t="shared" si="6"/>
        <v>4184037.86</v>
      </c>
      <c r="P19" s="378"/>
      <c r="Q19" s="378"/>
      <c r="R19" s="378"/>
      <c r="S19" s="378"/>
      <c r="T19" s="378">
        <f t="shared" si="7"/>
        <v>0</v>
      </c>
      <c r="U19" s="378"/>
      <c r="V19" s="378"/>
      <c r="W19" s="378"/>
      <c r="X19" s="378"/>
      <c r="Y19" s="378">
        <f t="shared" si="8"/>
        <v>0</v>
      </c>
      <c r="Z19" s="378"/>
      <c r="AA19" s="378"/>
      <c r="AB19" s="378"/>
      <c r="AC19" s="378"/>
      <c r="AD19" s="378">
        <f t="shared" si="9"/>
        <v>0</v>
      </c>
      <c r="AE19" s="378"/>
      <c r="AF19" s="378"/>
      <c r="AG19" s="378"/>
      <c r="AH19" s="378"/>
      <c r="AI19" s="378">
        <f t="shared" si="10"/>
        <v>0</v>
      </c>
      <c r="AJ19" s="378"/>
      <c r="AK19" s="378"/>
      <c r="AL19" s="378"/>
      <c r="AM19" s="378">
        <v>3695647</v>
      </c>
      <c r="AN19" s="378">
        <f t="shared" si="11"/>
        <v>3695647</v>
      </c>
    </row>
    <row r="20" spans="2:40" ht="12" customHeight="1" outlineLevel="1" x14ac:dyDescent="0.2">
      <c r="B20" s="391" t="s">
        <v>44</v>
      </c>
      <c r="C20" s="392" t="s">
        <v>45</v>
      </c>
      <c r="D20" s="374">
        <v>1</v>
      </c>
      <c r="E20" s="374" t="s">
        <v>37</v>
      </c>
      <c r="F20" s="375">
        <v>3073691.4075000002</v>
      </c>
      <c r="G20" s="375">
        <f t="shared" si="4"/>
        <v>3073691.4075000002</v>
      </c>
      <c r="I20" s="135">
        <f t="shared" si="5"/>
        <v>1222251</v>
      </c>
      <c r="J20" s="378">
        <v>9282</v>
      </c>
      <c r="K20" s="378"/>
      <c r="L20" s="378"/>
      <c r="M20" s="378">
        <v>9282</v>
      </c>
      <c r="N20" s="378"/>
      <c r="O20" s="378">
        <f t="shared" si="6"/>
        <v>9282</v>
      </c>
      <c r="P20" s="378"/>
      <c r="Q20" s="378"/>
      <c r="R20" s="378"/>
      <c r="S20" s="378"/>
      <c r="T20" s="378">
        <f t="shared" si="7"/>
        <v>0</v>
      </c>
      <c r="U20" s="378"/>
      <c r="V20" s="378"/>
      <c r="W20" s="378"/>
      <c r="X20" s="378"/>
      <c r="Y20" s="378">
        <f t="shared" si="8"/>
        <v>0</v>
      </c>
      <c r="Z20" s="378"/>
      <c r="AA20" s="378"/>
      <c r="AB20" s="378"/>
      <c r="AC20" s="378"/>
      <c r="AD20" s="378">
        <f t="shared" si="9"/>
        <v>0</v>
      </c>
      <c r="AE20" s="378"/>
      <c r="AF20" s="378"/>
      <c r="AG20" s="378"/>
      <c r="AH20" s="378"/>
      <c r="AI20" s="378">
        <f t="shared" si="10"/>
        <v>0</v>
      </c>
      <c r="AJ20" s="378"/>
      <c r="AK20" s="378"/>
      <c r="AL20" s="378"/>
      <c r="AM20" s="378">
        <v>1212969</v>
      </c>
      <c r="AN20" s="378">
        <f t="shared" si="11"/>
        <v>1212969</v>
      </c>
    </row>
    <row r="21" spans="2:40" ht="12" customHeight="1" outlineLevel="1" x14ac:dyDescent="0.2">
      <c r="B21" s="391" t="s">
        <v>46</v>
      </c>
      <c r="C21" s="392" t="s">
        <v>47</v>
      </c>
      <c r="D21" s="374">
        <v>1</v>
      </c>
      <c r="E21" s="374" t="s">
        <v>37</v>
      </c>
      <c r="F21" s="375">
        <v>3512790.18</v>
      </c>
      <c r="G21" s="375">
        <f t="shared" si="4"/>
        <v>3512790.18</v>
      </c>
      <c r="I21" s="135">
        <f t="shared" si="5"/>
        <v>982562.52</v>
      </c>
      <c r="J21" s="378">
        <f>197018.52+195267</f>
        <v>392285.52</v>
      </c>
      <c r="K21" s="378"/>
      <c r="L21" s="378"/>
      <c r="M21" s="378">
        <f>197018.52+195267</f>
        <v>392285.52</v>
      </c>
      <c r="N21" s="378"/>
      <c r="O21" s="378">
        <f t="shared" si="6"/>
        <v>392285.52</v>
      </c>
      <c r="P21" s="378"/>
      <c r="Q21" s="378"/>
      <c r="R21" s="378"/>
      <c r="S21" s="378"/>
      <c r="T21" s="378">
        <f t="shared" si="7"/>
        <v>0</v>
      </c>
      <c r="U21" s="378"/>
      <c r="V21" s="378"/>
      <c r="W21" s="378"/>
      <c r="X21" s="378"/>
      <c r="Y21" s="378">
        <f t="shared" si="8"/>
        <v>0</v>
      </c>
      <c r="Z21" s="378"/>
      <c r="AA21" s="378"/>
      <c r="AB21" s="378"/>
      <c r="AC21" s="378"/>
      <c r="AD21" s="378">
        <f t="shared" si="9"/>
        <v>0</v>
      </c>
      <c r="AE21" s="378"/>
      <c r="AF21" s="378"/>
      <c r="AG21" s="378"/>
      <c r="AH21" s="378"/>
      <c r="AI21" s="378">
        <f t="shared" si="10"/>
        <v>0</v>
      </c>
      <c r="AJ21" s="378"/>
      <c r="AK21" s="378"/>
      <c r="AL21" s="378"/>
      <c r="AM21" s="378">
        <v>590277</v>
      </c>
      <c r="AN21" s="378">
        <f t="shared" si="11"/>
        <v>590277</v>
      </c>
    </row>
    <row r="22" spans="2:40" ht="12" customHeight="1" x14ac:dyDescent="0.2">
      <c r="B22" s="387" t="s">
        <v>48</v>
      </c>
      <c r="C22" s="388" t="s">
        <v>49</v>
      </c>
      <c r="D22" s="393"/>
      <c r="E22" s="393"/>
      <c r="F22" s="389"/>
      <c r="G22" s="389">
        <f>SUM(G23:G25)</f>
        <v>48300864.975000001</v>
      </c>
      <c r="I22" s="390">
        <f t="shared" ref="I22:AN22" si="12">SUM(I23:I25)</f>
        <v>48300864.980000004</v>
      </c>
      <c r="J22" s="390">
        <f t="shared" si="12"/>
        <v>48300863</v>
      </c>
      <c r="K22" s="390">
        <f t="shared" si="12"/>
        <v>0</v>
      </c>
      <c r="L22" s="390">
        <f t="shared" si="12"/>
        <v>0</v>
      </c>
      <c r="M22" s="390">
        <f t="shared" si="12"/>
        <v>0</v>
      </c>
      <c r="N22" s="390">
        <f t="shared" si="12"/>
        <v>0</v>
      </c>
      <c r="O22" s="390">
        <f t="shared" si="12"/>
        <v>0</v>
      </c>
      <c r="P22" s="390">
        <f t="shared" si="12"/>
        <v>0</v>
      </c>
      <c r="Q22" s="390">
        <f t="shared" si="12"/>
        <v>0</v>
      </c>
      <c r="R22" s="390">
        <f t="shared" si="12"/>
        <v>0</v>
      </c>
      <c r="S22" s="390">
        <f t="shared" si="12"/>
        <v>0</v>
      </c>
      <c r="T22" s="390">
        <f t="shared" si="12"/>
        <v>0</v>
      </c>
      <c r="U22" s="390">
        <f t="shared" si="12"/>
        <v>0</v>
      </c>
      <c r="V22" s="390">
        <f t="shared" si="12"/>
        <v>0</v>
      </c>
      <c r="W22" s="390">
        <f t="shared" si="12"/>
        <v>0</v>
      </c>
      <c r="X22" s="390">
        <f t="shared" si="12"/>
        <v>0</v>
      </c>
      <c r="Y22" s="390">
        <f t="shared" si="12"/>
        <v>0</v>
      </c>
      <c r="Z22" s="390">
        <f t="shared" si="12"/>
        <v>0</v>
      </c>
      <c r="AA22" s="390">
        <f t="shared" si="12"/>
        <v>0</v>
      </c>
      <c r="AB22" s="390">
        <f t="shared" si="12"/>
        <v>0</v>
      </c>
      <c r="AC22" s="390">
        <f t="shared" si="12"/>
        <v>0</v>
      </c>
      <c r="AD22" s="390">
        <f t="shared" si="12"/>
        <v>0</v>
      </c>
      <c r="AE22" s="390">
        <f t="shared" si="12"/>
        <v>0</v>
      </c>
      <c r="AF22" s="390">
        <f t="shared" si="12"/>
        <v>0</v>
      </c>
      <c r="AG22" s="390">
        <f t="shared" si="12"/>
        <v>0</v>
      </c>
      <c r="AH22" s="390">
        <f t="shared" si="12"/>
        <v>0</v>
      </c>
      <c r="AI22" s="390">
        <f t="shared" si="12"/>
        <v>0</v>
      </c>
      <c r="AJ22" s="390">
        <f t="shared" si="12"/>
        <v>0</v>
      </c>
      <c r="AK22" s="390">
        <f t="shared" si="12"/>
        <v>48300864.980000004</v>
      </c>
      <c r="AL22" s="390">
        <f t="shared" si="12"/>
        <v>0</v>
      </c>
      <c r="AM22" s="390">
        <f t="shared" si="12"/>
        <v>0</v>
      </c>
      <c r="AN22" s="390">
        <f t="shared" si="12"/>
        <v>48300864.980000004</v>
      </c>
    </row>
    <row r="23" spans="2:40" ht="12" customHeight="1" outlineLevel="1" x14ac:dyDescent="0.2">
      <c r="B23" s="391" t="s">
        <v>50</v>
      </c>
      <c r="C23" s="392" t="s">
        <v>51</v>
      </c>
      <c r="D23" s="374">
        <v>1</v>
      </c>
      <c r="E23" s="374" t="s">
        <v>37</v>
      </c>
      <c r="F23" s="375">
        <v>7318312.875</v>
      </c>
      <c r="G23" s="375">
        <f>+D23*F23</f>
        <v>7318312.875</v>
      </c>
      <c r="I23" s="135">
        <f>(O23+T23+Y23+AD23+AI23+AN23)</f>
        <v>7318312.8799999999</v>
      </c>
      <c r="J23" s="378">
        <v>7318312</v>
      </c>
      <c r="K23" s="378"/>
      <c r="L23" s="378"/>
      <c r="M23" s="378"/>
      <c r="N23" s="378"/>
      <c r="O23" s="378">
        <f>SUM(K23:N23)</f>
        <v>0</v>
      </c>
      <c r="P23" s="378"/>
      <c r="Q23" s="378"/>
      <c r="R23" s="378"/>
      <c r="S23" s="378"/>
      <c r="T23" s="378">
        <f>SUM(P23:S23)</f>
        <v>0</v>
      </c>
      <c r="U23" s="378"/>
      <c r="V23" s="378"/>
      <c r="W23" s="378"/>
      <c r="X23" s="378"/>
      <c r="Y23" s="378">
        <f>SUM(U23:X23)</f>
        <v>0</v>
      </c>
      <c r="Z23" s="378"/>
      <c r="AA23" s="378"/>
      <c r="AB23" s="378"/>
      <c r="AC23" s="378"/>
      <c r="AD23" s="378">
        <f>SUM(Z23:AC23)</f>
        <v>0</v>
      </c>
      <c r="AE23" s="378"/>
      <c r="AF23" s="378"/>
      <c r="AG23" s="378"/>
      <c r="AH23" s="378"/>
      <c r="AI23" s="378">
        <f>SUM(AE23:AH23)</f>
        <v>0</v>
      </c>
      <c r="AJ23" s="378"/>
      <c r="AK23" s="378">
        <v>7318312.8799999999</v>
      </c>
      <c r="AL23" s="378"/>
      <c r="AM23" s="378"/>
      <c r="AN23" s="378">
        <f>SUM(AJ23:AM23)</f>
        <v>7318312.8799999999</v>
      </c>
    </row>
    <row r="24" spans="2:40" ht="12" customHeight="1" outlineLevel="1" x14ac:dyDescent="0.2">
      <c r="B24" s="391" t="s">
        <v>52</v>
      </c>
      <c r="C24" s="392" t="s">
        <v>53</v>
      </c>
      <c r="D24" s="374">
        <v>1</v>
      </c>
      <c r="E24" s="374" t="s">
        <v>37</v>
      </c>
      <c r="F24" s="375">
        <v>29273251.5</v>
      </c>
      <c r="G24" s="375">
        <f>+D24*F24</f>
        <v>29273251.5</v>
      </c>
      <c r="I24" s="135">
        <f>(O24+T24+Y24+AD24+AI24+AN24)</f>
        <v>29273251.5</v>
      </c>
      <c r="J24" s="378">
        <v>29273251</v>
      </c>
      <c r="K24" s="378"/>
      <c r="L24" s="378"/>
      <c r="M24" s="378"/>
      <c r="N24" s="378"/>
      <c r="O24" s="378">
        <f>SUM(K24:N24)</f>
        <v>0</v>
      </c>
      <c r="P24" s="378"/>
      <c r="Q24" s="378"/>
      <c r="R24" s="378"/>
      <c r="S24" s="378"/>
      <c r="T24" s="378">
        <f>SUM(P24:S24)</f>
        <v>0</v>
      </c>
      <c r="U24" s="378"/>
      <c r="V24" s="378"/>
      <c r="W24" s="378"/>
      <c r="X24" s="378"/>
      <c r="Y24" s="378">
        <f>SUM(U24:X24)</f>
        <v>0</v>
      </c>
      <c r="Z24" s="378"/>
      <c r="AA24" s="378"/>
      <c r="AB24" s="378"/>
      <c r="AC24" s="378"/>
      <c r="AD24" s="378">
        <f>SUM(Z24:AC24)</f>
        <v>0</v>
      </c>
      <c r="AE24" s="378"/>
      <c r="AF24" s="378"/>
      <c r="AG24" s="378"/>
      <c r="AH24" s="378"/>
      <c r="AI24" s="378">
        <f>SUM(AE24:AH24)</f>
        <v>0</v>
      </c>
      <c r="AJ24" s="378"/>
      <c r="AK24" s="378">
        <v>29273251.5</v>
      </c>
      <c r="AL24" s="378"/>
      <c r="AM24" s="378"/>
      <c r="AN24" s="378">
        <f>SUM(AJ24:AM24)</f>
        <v>29273251.5</v>
      </c>
    </row>
    <row r="25" spans="2:40" ht="12" customHeight="1" outlineLevel="1" x14ac:dyDescent="0.2">
      <c r="B25" s="391" t="s">
        <v>54</v>
      </c>
      <c r="C25" s="392" t="s">
        <v>55</v>
      </c>
      <c r="D25" s="374">
        <v>1</v>
      </c>
      <c r="E25" s="374" t="s">
        <v>37</v>
      </c>
      <c r="F25" s="375">
        <v>11709300.6</v>
      </c>
      <c r="G25" s="375">
        <f>+D25*F25</f>
        <v>11709300.6</v>
      </c>
      <c r="I25" s="135">
        <f>(O25+T25+Y25+AD25+AI25+AN25)</f>
        <v>11709300.6</v>
      </c>
      <c r="J25" s="378">
        <v>11709300</v>
      </c>
      <c r="K25" s="378"/>
      <c r="L25" s="378"/>
      <c r="M25" s="378"/>
      <c r="N25" s="378"/>
      <c r="O25" s="378">
        <f>SUM(K25:N25)</f>
        <v>0</v>
      </c>
      <c r="P25" s="378"/>
      <c r="Q25" s="378"/>
      <c r="R25" s="378"/>
      <c r="S25" s="378"/>
      <c r="T25" s="378">
        <f>SUM(P25:S25)</f>
        <v>0</v>
      </c>
      <c r="U25" s="378"/>
      <c r="V25" s="378"/>
      <c r="W25" s="378"/>
      <c r="X25" s="378"/>
      <c r="Y25" s="378">
        <f>SUM(U25:X25)</f>
        <v>0</v>
      </c>
      <c r="Z25" s="378"/>
      <c r="AA25" s="378"/>
      <c r="AB25" s="378"/>
      <c r="AC25" s="378"/>
      <c r="AD25" s="378">
        <f>SUM(Z25:AC25)</f>
        <v>0</v>
      </c>
      <c r="AE25" s="378"/>
      <c r="AF25" s="378"/>
      <c r="AG25" s="378"/>
      <c r="AH25" s="378"/>
      <c r="AI25" s="378">
        <f>SUM(AE25:AH25)</f>
        <v>0</v>
      </c>
      <c r="AJ25" s="378"/>
      <c r="AK25" s="378">
        <v>11709300.6</v>
      </c>
      <c r="AL25" s="378"/>
      <c r="AM25" s="378"/>
      <c r="AN25" s="378">
        <f>SUM(AJ25:AM25)</f>
        <v>11709300.6</v>
      </c>
    </row>
    <row r="26" spans="2:40" ht="12" customHeight="1" x14ac:dyDescent="0.2">
      <c r="B26" s="387" t="s">
        <v>56</v>
      </c>
      <c r="C26" s="388" t="s">
        <v>57</v>
      </c>
      <c r="D26" s="393"/>
      <c r="E26" s="393"/>
      <c r="F26" s="389"/>
      <c r="G26" s="394">
        <f>G27</f>
        <v>24640000</v>
      </c>
      <c r="I26" s="395">
        <f t="shared" ref="I26:AN26" si="13">SUM(I27:I28)</f>
        <v>34339945</v>
      </c>
      <c r="J26" s="395">
        <f t="shared" si="13"/>
        <v>10450000</v>
      </c>
      <c r="K26" s="395">
        <f t="shared" si="13"/>
        <v>0</v>
      </c>
      <c r="L26" s="395">
        <f t="shared" si="13"/>
        <v>0</v>
      </c>
      <c r="M26" s="395">
        <f t="shared" si="13"/>
        <v>0</v>
      </c>
      <c r="N26" s="395">
        <f t="shared" si="13"/>
        <v>2435886</v>
      </c>
      <c r="O26" s="395">
        <f t="shared" si="13"/>
        <v>2435886</v>
      </c>
      <c r="P26" s="395">
        <f t="shared" si="13"/>
        <v>0</v>
      </c>
      <c r="Q26" s="395">
        <f t="shared" si="13"/>
        <v>0</v>
      </c>
      <c r="R26" s="395">
        <f t="shared" si="13"/>
        <v>0</v>
      </c>
      <c r="S26" s="395">
        <f t="shared" si="13"/>
        <v>10365382</v>
      </c>
      <c r="T26" s="395">
        <f t="shared" si="13"/>
        <v>10365382</v>
      </c>
      <c r="U26" s="395">
        <f t="shared" si="13"/>
        <v>0</v>
      </c>
      <c r="V26" s="395">
        <f t="shared" si="13"/>
        <v>0</v>
      </c>
      <c r="W26" s="395">
        <f t="shared" si="13"/>
        <v>0</v>
      </c>
      <c r="X26" s="395">
        <f t="shared" si="13"/>
        <v>10365382</v>
      </c>
      <c r="Y26" s="395">
        <f t="shared" si="13"/>
        <v>10365382</v>
      </c>
      <c r="Z26" s="395">
        <f t="shared" si="13"/>
        <v>0</v>
      </c>
      <c r="AA26" s="395">
        <f t="shared" si="13"/>
        <v>0</v>
      </c>
      <c r="AB26" s="395">
        <f t="shared" si="13"/>
        <v>0</v>
      </c>
      <c r="AC26" s="395">
        <f t="shared" si="13"/>
        <v>3450000</v>
      </c>
      <c r="AD26" s="395">
        <f t="shared" si="13"/>
        <v>3450000</v>
      </c>
      <c r="AE26" s="395">
        <f t="shared" si="13"/>
        <v>0</v>
      </c>
      <c r="AF26" s="395">
        <f t="shared" si="13"/>
        <v>0</v>
      </c>
      <c r="AG26" s="395">
        <f t="shared" si="13"/>
        <v>0</v>
      </c>
      <c r="AH26" s="395">
        <f t="shared" si="13"/>
        <v>3450000</v>
      </c>
      <c r="AI26" s="395">
        <f t="shared" si="13"/>
        <v>3450000</v>
      </c>
      <c r="AJ26" s="395">
        <f t="shared" si="13"/>
        <v>0</v>
      </c>
      <c r="AK26" s="395">
        <f t="shared" si="13"/>
        <v>0</v>
      </c>
      <c r="AL26" s="395">
        <f t="shared" si="13"/>
        <v>0</v>
      </c>
      <c r="AM26" s="395">
        <f t="shared" si="13"/>
        <v>4273295</v>
      </c>
      <c r="AN26" s="395">
        <f t="shared" si="13"/>
        <v>4273295</v>
      </c>
    </row>
    <row r="27" spans="2:40" s="1" customFormat="1" ht="12" customHeight="1" x14ac:dyDescent="0.2">
      <c r="B27" s="396" t="s">
        <v>58</v>
      </c>
      <c r="C27" s="397" t="s">
        <v>59</v>
      </c>
      <c r="D27" s="398">
        <v>4</v>
      </c>
      <c r="E27" s="398" t="s">
        <v>60</v>
      </c>
      <c r="F27" s="398">
        <v>6160000</v>
      </c>
      <c r="G27" s="398">
        <f>+D27*F27</f>
        <v>24640000</v>
      </c>
      <c r="I27" s="135">
        <f>(O27+T27+Y27+AD27+AI27+AN27)</f>
        <v>17089945</v>
      </c>
      <c r="J27" s="378">
        <v>7000000</v>
      </c>
      <c r="K27" s="378"/>
      <c r="L27" s="378"/>
      <c r="M27" s="378"/>
      <c r="N27" s="378">
        <v>2435886</v>
      </c>
      <c r="O27" s="378">
        <f>SUM(K27:N27)</f>
        <v>2435886</v>
      </c>
      <c r="P27" s="378"/>
      <c r="Q27" s="378"/>
      <c r="R27" s="378"/>
      <c r="S27" s="378">
        <v>6915382</v>
      </c>
      <c r="T27" s="378">
        <f>SUM(P27:S27)</f>
        <v>6915382</v>
      </c>
      <c r="U27" s="378"/>
      <c r="V27" s="378"/>
      <c r="W27" s="378"/>
      <c r="X27" s="378">
        <v>6915382</v>
      </c>
      <c r="Y27" s="378">
        <f>SUM(U27:X27)</f>
        <v>6915382</v>
      </c>
      <c r="Z27" s="378"/>
      <c r="AA27" s="378"/>
      <c r="AB27" s="378"/>
      <c r="AC27" s="378"/>
      <c r="AD27" s="378">
        <f>SUM(Z27:AC27)</f>
        <v>0</v>
      </c>
      <c r="AE27" s="378"/>
      <c r="AF27" s="378"/>
      <c r="AG27" s="378"/>
      <c r="AH27" s="378"/>
      <c r="AI27" s="378">
        <f>SUM(AE27:AH27)</f>
        <v>0</v>
      </c>
      <c r="AJ27" s="378"/>
      <c r="AK27" s="378"/>
      <c r="AL27" s="378"/>
      <c r="AM27" s="378">
        <v>823295</v>
      </c>
      <c r="AN27" s="378">
        <f>SUM(AJ27:AM27)</f>
        <v>823295</v>
      </c>
    </row>
    <row r="28" spans="2:40" s="1" customFormat="1" ht="12" customHeight="1" x14ac:dyDescent="0.2">
      <c r="B28" s="399" t="s">
        <v>185</v>
      </c>
      <c r="C28" s="400" t="s">
        <v>231</v>
      </c>
      <c r="D28" s="401">
        <v>4</v>
      </c>
      <c r="E28" s="401" t="s">
        <v>232</v>
      </c>
      <c r="F28" s="401">
        <f>2300000*1.5</f>
        <v>3450000</v>
      </c>
      <c r="G28" s="401">
        <f>F28*D28</f>
        <v>13800000</v>
      </c>
      <c r="I28" s="135">
        <f>(O28+T28+Y28+AD28+AI28+AN28)</f>
        <v>17250000</v>
      </c>
      <c r="J28" s="401">
        <f>2300000*1.5</f>
        <v>3450000</v>
      </c>
      <c r="K28" s="402"/>
      <c r="L28" s="402"/>
      <c r="M28" s="402"/>
      <c r="N28" s="402"/>
      <c r="O28" s="378">
        <f>SUM(K28:N28)</f>
        <v>0</v>
      </c>
      <c r="P28" s="402"/>
      <c r="Q28" s="402"/>
      <c r="R28" s="402"/>
      <c r="S28" s="402">
        <v>3450000</v>
      </c>
      <c r="T28" s="378">
        <f>SUM(P28:S28)</f>
        <v>3450000</v>
      </c>
      <c r="U28" s="402"/>
      <c r="V28" s="402"/>
      <c r="W28" s="402"/>
      <c r="X28" s="403">
        <f>2300000*1.5</f>
        <v>3450000</v>
      </c>
      <c r="Y28" s="378">
        <f>SUM(U28:X28)</f>
        <v>3450000</v>
      </c>
      <c r="Z28" s="402"/>
      <c r="AA28" s="402"/>
      <c r="AB28" s="403"/>
      <c r="AC28" s="403">
        <f>2300000*1.5</f>
        <v>3450000</v>
      </c>
      <c r="AD28" s="378">
        <f>SUM(Z28:AC28)</f>
        <v>3450000</v>
      </c>
      <c r="AE28" s="402"/>
      <c r="AF28" s="402"/>
      <c r="AG28" s="403"/>
      <c r="AH28" s="403">
        <f>2300000*1.5</f>
        <v>3450000</v>
      </c>
      <c r="AI28" s="378">
        <f>SUM(AE28:AH28)</f>
        <v>3450000</v>
      </c>
      <c r="AJ28" s="402"/>
      <c r="AK28" s="402"/>
      <c r="AL28" s="402"/>
      <c r="AM28" s="403">
        <f>2300000*1.5</f>
        <v>3450000</v>
      </c>
      <c r="AN28" s="378">
        <f>SUM(AJ28:AM28)</f>
        <v>3450000</v>
      </c>
    </row>
    <row r="29" spans="2:40" ht="12" customHeight="1" x14ac:dyDescent="0.2">
      <c r="B29" s="404" t="s">
        <v>61</v>
      </c>
      <c r="C29" s="405" t="s">
        <v>62</v>
      </c>
      <c r="D29" s="393"/>
      <c r="E29" s="393"/>
      <c r="F29" s="389"/>
      <c r="G29" s="389">
        <f>SUM(G30:G38)</f>
        <v>750834.39999999991</v>
      </c>
      <c r="I29" s="390">
        <f t="shared" ref="I29:AN29" si="14">SUM(I30:I38)</f>
        <v>661557</v>
      </c>
      <c r="J29" s="390">
        <f t="shared" si="14"/>
        <v>661557</v>
      </c>
      <c r="K29" s="390">
        <f t="shared" si="14"/>
        <v>0</v>
      </c>
      <c r="L29" s="390">
        <f t="shared" si="14"/>
        <v>0</v>
      </c>
      <c r="M29" s="390">
        <f t="shared" si="14"/>
        <v>0</v>
      </c>
      <c r="N29" s="390">
        <f t="shared" si="14"/>
        <v>661557</v>
      </c>
      <c r="O29" s="390">
        <f t="shared" si="14"/>
        <v>661557</v>
      </c>
      <c r="P29" s="390">
        <f t="shared" si="14"/>
        <v>0</v>
      </c>
      <c r="Q29" s="390">
        <f t="shared" si="14"/>
        <v>0</v>
      </c>
      <c r="R29" s="390">
        <f t="shared" si="14"/>
        <v>0</v>
      </c>
      <c r="S29" s="390">
        <f t="shared" si="14"/>
        <v>0</v>
      </c>
      <c r="T29" s="390">
        <f t="shared" si="14"/>
        <v>0</v>
      </c>
      <c r="U29" s="390">
        <f t="shared" si="14"/>
        <v>0</v>
      </c>
      <c r="V29" s="390">
        <f t="shared" si="14"/>
        <v>0</v>
      </c>
      <c r="W29" s="390">
        <f t="shared" si="14"/>
        <v>0</v>
      </c>
      <c r="X29" s="390">
        <f t="shared" si="14"/>
        <v>0</v>
      </c>
      <c r="Y29" s="390">
        <f t="shared" si="14"/>
        <v>0</v>
      </c>
      <c r="Z29" s="390">
        <f t="shared" si="14"/>
        <v>0</v>
      </c>
      <c r="AA29" s="390">
        <f t="shared" si="14"/>
        <v>0</v>
      </c>
      <c r="AB29" s="390">
        <f t="shared" si="14"/>
        <v>0</v>
      </c>
      <c r="AC29" s="390">
        <f t="shared" si="14"/>
        <v>0</v>
      </c>
      <c r="AD29" s="390">
        <f t="shared" si="14"/>
        <v>0</v>
      </c>
      <c r="AE29" s="390">
        <f t="shared" si="14"/>
        <v>0</v>
      </c>
      <c r="AF29" s="390">
        <f t="shared" si="14"/>
        <v>0</v>
      </c>
      <c r="AG29" s="390">
        <f t="shared" si="14"/>
        <v>0</v>
      </c>
      <c r="AH29" s="390">
        <f t="shared" si="14"/>
        <v>0</v>
      </c>
      <c r="AI29" s="390">
        <f t="shared" si="14"/>
        <v>0</v>
      </c>
      <c r="AJ29" s="390">
        <f t="shared" si="14"/>
        <v>0</v>
      </c>
      <c r="AK29" s="390">
        <f t="shared" si="14"/>
        <v>0</v>
      </c>
      <c r="AL29" s="390">
        <f t="shared" si="14"/>
        <v>0</v>
      </c>
      <c r="AM29" s="390">
        <f t="shared" si="14"/>
        <v>0</v>
      </c>
      <c r="AN29" s="390">
        <f t="shared" si="14"/>
        <v>0</v>
      </c>
    </row>
    <row r="30" spans="2:40" ht="12" customHeight="1" x14ac:dyDescent="0.2">
      <c r="B30" s="406" t="s">
        <v>63</v>
      </c>
      <c r="C30" s="407" t="s">
        <v>64</v>
      </c>
      <c r="D30" s="408">
        <v>3</v>
      </c>
      <c r="E30" s="408" t="s">
        <v>65</v>
      </c>
      <c r="F30" s="409">
        <v>125384.29999999999</v>
      </c>
      <c r="G30" s="375">
        <f t="shared" ref="G30:G38" si="15">+D30*F30</f>
        <v>376152.89999999997</v>
      </c>
      <c r="I30" s="135">
        <f t="shared" ref="I30:I38" si="16">(O30+T30+Y30+AD30+AI30+AN30)</f>
        <v>150000</v>
      </c>
      <c r="J30" s="378">
        <v>150000</v>
      </c>
      <c r="K30" s="378"/>
      <c r="L30" s="378"/>
      <c r="M30" s="378"/>
      <c r="N30" s="378">
        <v>150000</v>
      </c>
      <c r="O30" s="378">
        <f t="shared" ref="O30:O38" si="17">SUM(K30:N30)</f>
        <v>150000</v>
      </c>
      <c r="P30" s="378"/>
      <c r="Q30" s="378"/>
      <c r="R30" s="378"/>
      <c r="S30" s="378"/>
      <c r="T30" s="378">
        <f t="shared" ref="T30:T38" si="18">SUM(P30:S30)</f>
        <v>0</v>
      </c>
      <c r="U30" s="378"/>
      <c r="V30" s="378"/>
      <c r="W30" s="378"/>
      <c r="X30" s="378"/>
      <c r="Y30" s="378">
        <f t="shared" ref="Y30:Y38" si="19">SUM(U30:X30)</f>
        <v>0</v>
      </c>
      <c r="Z30" s="378"/>
      <c r="AA30" s="378"/>
      <c r="AB30" s="378"/>
      <c r="AC30" s="378"/>
      <c r="AD30" s="378">
        <f t="shared" ref="AD30:AD38" si="20">SUM(Z30:AC30)</f>
        <v>0</v>
      </c>
      <c r="AE30" s="378"/>
      <c r="AF30" s="378"/>
      <c r="AG30" s="378"/>
      <c r="AH30" s="378"/>
      <c r="AI30" s="378">
        <f t="shared" ref="AI30:AI38" si="21">SUM(AE30:AH30)</f>
        <v>0</v>
      </c>
      <c r="AJ30" s="378"/>
      <c r="AK30" s="378"/>
      <c r="AL30" s="378"/>
      <c r="AM30" s="378"/>
      <c r="AN30" s="378">
        <f t="shared" ref="AN30:AN38" si="22">SUM(AJ30:AM30)</f>
        <v>0</v>
      </c>
    </row>
    <row r="31" spans="2:40" ht="12" customHeight="1" x14ac:dyDescent="0.2">
      <c r="B31" s="406" t="s">
        <v>66</v>
      </c>
      <c r="C31" s="392" t="s">
        <v>67</v>
      </c>
      <c r="D31" s="374">
        <v>1</v>
      </c>
      <c r="E31" s="374" t="s">
        <v>65</v>
      </c>
      <c r="F31" s="375">
        <v>17867</v>
      </c>
      <c r="G31" s="375">
        <f t="shared" si="15"/>
        <v>17867</v>
      </c>
      <c r="I31" s="135">
        <f t="shared" si="16"/>
        <v>17850</v>
      </c>
      <c r="J31" s="378">
        <v>17850</v>
      </c>
      <c r="K31" s="378"/>
      <c r="L31" s="378"/>
      <c r="M31" s="378"/>
      <c r="N31" s="378">
        <v>17850</v>
      </c>
      <c r="O31" s="378">
        <f t="shared" si="17"/>
        <v>17850</v>
      </c>
      <c r="P31" s="378"/>
      <c r="Q31" s="378"/>
      <c r="R31" s="378"/>
      <c r="S31" s="378"/>
      <c r="T31" s="378">
        <f t="shared" si="18"/>
        <v>0</v>
      </c>
      <c r="U31" s="378"/>
      <c r="V31" s="378"/>
      <c r="W31" s="378"/>
      <c r="X31" s="378"/>
      <c r="Y31" s="378">
        <f t="shared" si="19"/>
        <v>0</v>
      </c>
      <c r="Z31" s="378"/>
      <c r="AA31" s="378"/>
      <c r="AB31" s="378"/>
      <c r="AC31" s="378"/>
      <c r="AD31" s="378">
        <f t="shared" si="20"/>
        <v>0</v>
      </c>
      <c r="AE31" s="378"/>
      <c r="AF31" s="378"/>
      <c r="AG31" s="378"/>
      <c r="AH31" s="378"/>
      <c r="AI31" s="378">
        <f t="shared" si="21"/>
        <v>0</v>
      </c>
      <c r="AJ31" s="378"/>
      <c r="AK31" s="378"/>
      <c r="AL31" s="378"/>
      <c r="AM31" s="378"/>
      <c r="AN31" s="378">
        <f t="shared" si="22"/>
        <v>0</v>
      </c>
    </row>
    <row r="32" spans="2:40" ht="12" customHeight="1" x14ac:dyDescent="0.2">
      <c r="B32" s="406" t="s">
        <v>68</v>
      </c>
      <c r="C32" s="392" t="s">
        <v>69</v>
      </c>
      <c r="D32" s="374">
        <v>3</v>
      </c>
      <c r="E32" s="374" t="s">
        <v>65</v>
      </c>
      <c r="F32" s="375">
        <v>2627.5</v>
      </c>
      <c r="G32" s="375">
        <f t="shared" si="15"/>
        <v>7882.5</v>
      </c>
      <c r="I32" s="135">
        <f t="shared" si="16"/>
        <v>4341</v>
      </c>
      <c r="J32" s="378">
        <v>4341</v>
      </c>
      <c r="K32" s="378"/>
      <c r="L32" s="378"/>
      <c r="M32" s="378"/>
      <c r="N32" s="378">
        <v>4341</v>
      </c>
      <c r="O32" s="378">
        <f t="shared" si="17"/>
        <v>4341</v>
      </c>
      <c r="P32" s="378"/>
      <c r="Q32" s="378"/>
      <c r="R32" s="378"/>
      <c r="S32" s="378"/>
      <c r="T32" s="378">
        <f t="shared" si="18"/>
        <v>0</v>
      </c>
      <c r="U32" s="378"/>
      <c r="V32" s="378"/>
      <c r="W32" s="378"/>
      <c r="X32" s="378"/>
      <c r="Y32" s="378">
        <f t="shared" si="19"/>
        <v>0</v>
      </c>
      <c r="Z32" s="378"/>
      <c r="AA32" s="378"/>
      <c r="AB32" s="378"/>
      <c r="AC32" s="378"/>
      <c r="AD32" s="378">
        <f t="shared" si="20"/>
        <v>0</v>
      </c>
      <c r="AE32" s="378"/>
      <c r="AF32" s="378"/>
      <c r="AG32" s="378"/>
      <c r="AH32" s="378"/>
      <c r="AI32" s="378">
        <f t="shared" si="21"/>
        <v>0</v>
      </c>
      <c r="AJ32" s="378"/>
      <c r="AK32" s="378"/>
      <c r="AL32" s="378"/>
      <c r="AM32" s="378"/>
      <c r="AN32" s="378">
        <f t="shared" si="22"/>
        <v>0</v>
      </c>
    </row>
    <row r="33" spans="2:40" ht="12" customHeight="1" x14ac:dyDescent="0.2">
      <c r="B33" s="406" t="s">
        <v>70</v>
      </c>
      <c r="C33" s="392" t="s">
        <v>71</v>
      </c>
      <c r="D33" s="374">
        <v>3</v>
      </c>
      <c r="E33" s="374" t="s">
        <v>65</v>
      </c>
      <c r="F33" s="375">
        <v>5780.5</v>
      </c>
      <c r="G33" s="375">
        <f t="shared" si="15"/>
        <v>17341.5</v>
      </c>
      <c r="I33" s="135">
        <f t="shared" si="16"/>
        <v>23324</v>
      </c>
      <c r="J33" s="378">
        <v>23324</v>
      </c>
      <c r="K33" s="378"/>
      <c r="L33" s="378"/>
      <c r="M33" s="378"/>
      <c r="N33" s="378">
        <v>23324</v>
      </c>
      <c r="O33" s="378">
        <f t="shared" si="17"/>
        <v>23324</v>
      </c>
      <c r="P33" s="378"/>
      <c r="Q33" s="378"/>
      <c r="R33" s="378"/>
      <c r="S33" s="378"/>
      <c r="T33" s="378">
        <f t="shared" si="18"/>
        <v>0</v>
      </c>
      <c r="U33" s="378"/>
      <c r="V33" s="378"/>
      <c r="W33" s="378"/>
      <c r="X33" s="378"/>
      <c r="Y33" s="378">
        <f t="shared" si="19"/>
        <v>0</v>
      </c>
      <c r="Z33" s="378"/>
      <c r="AA33" s="378"/>
      <c r="AB33" s="378"/>
      <c r="AC33" s="378"/>
      <c r="AD33" s="378">
        <f t="shared" si="20"/>
        <v>0</v>
      </c>
      <c r="AE33" s="378"/>
      <c r="AF33" s="378"/>
      <c r="AG33" s="378"/>
      <c r="AH33" s="378"/>
      <c r="AI33" s="378">
        <f t="shared" si="21"/>
        <v>0</v>
      </c>
      <c r="AJ33" s="378"/>
      <c r="AK33" s="378"/>
      <c r="AL33" s="378"/>
      <c r="AM33" s="378"/>
      <c r="AN33" s="378">
        <f t="shared" si="22"/>
        <v>0</v>
      </c>
    </row>
    <row r="34" spans="2:40" ht="12" customHeight="1" x14ac:dyDescent="0.2">
      <c r="B34" s="406" t="s">
        <v>72</v>
      </c>
      <c r="C34" s="392" t="s">
        <v>73</v>
      </c>
      <c r="D34" s="374">
        <v>1</v>
      </c>
      <c r="E34" s="374" t="s">
        <v>65</v>
      </c>
      <c r="F34" s="375">
        <v>72519</v>
      </c>
      <c r="G34" s="375">
        <f t="shared" si="15"/>
        <v>72519</v>
      </c>
      <c r="I34" s="135">
        <f t="shared" si="16"/>
        <v>66640</v>
      </c>
      <c r="J34" s="378">
        <v>66640</v>
      </c>
      <c r="K34" s="378"/>
      <c r="L34" s="378"/>
      <c r="M34" s="378"/>
      <c r="N34" s="378">
        <v>66640</v>
      </c>
      <c r="O34" s="378">
        <f t="shared" si="17"/>
        <v>66640</v>
      </c>
      <c r="P34" s="378"/>
      <c r="Q34" s="378"/>
      <c r="R34" s="378"/>
      <c r="S34" s="378"/>
      <c r="T34" s="378">
        <f t="shared" si="18"/>
        <v>0</v>
      </c>
      <c r="U34" s="378"/>
      <c r="V34" s="378"/>
      <c r="W34" s="378"/>
      <c r="X34" s="378"/>
      <c r="Y34" s="378">
        <f t="shared" si="19"/>
        <v>0</v>
      </c>
      <c r="Z34" s="378"/>
      <c r="AA34" s="378"/>
      <c r="AB34" s="378"/>
      <c r="AC34" s="378"/>
      <c r="AD34" s="378">
        <f t="shared" si="20"/>
        <v>0</v>
      </c>
      <c r="AE34" s="378"/>
      <c r="AF34" s="378"/>
      <c r="AG34" s="378"/>
      <c r="AH34" s="378"/>
      <c r="AI34" s="378">
        <f t="shared" si="21"/>
        <v>0</v>
      </c>
      <c r="AJ34" s="378"/>
      <c r="AK34" s="378"/>
      <c r="AL34" s="378"/>
      <c r="AM34" s="378"/>
      <c r="AN34" s="378">
        <f t="shared" si="22"/>
        <v>0</v>
      </c>
    </row>
    <row r="35" spans="2:40" ht="12" customHeight="1" x14ac:dyDescent="0.2">
      <c r="B35" s="406" t="s">
        <v>74</v>
      </c>
      <c r="C35" s="392" t="s">
        <v>75</v>
      </c>
      <c r="D35" s="374">
        <v>1</v>
      </c>
      <c r="E35" s="374" t="s">
        <v>65</v>
      </c>
      <c r="F35" s="375">
        <v>118762.99999999999</v>
      </c>
      <c r="G35" s="375">
        <f t="shared" si="15"/>
        <v>118762.99999999999</v>
      </c>
      <c r="I35" s="135">
        <f t="shared" si="16"/>
        <v>116739</v>
      </c>
      <c r="J35" s="378">
        <v>116739</v>
      </c>
      <c r="K35" s="378"/>
      <c r="L35" s="378"/>
      <c r="M35" s="378"/>
      <c r="N35" s="378">
        <v>116739</v>
      </c>
      <c r="O35" s="378">
        <f t="shared" si="17"/>
        <v>116739</v>
      </c>
      <c r="P35" s="378"/>
      <c r="Q35" s="378"/>
      <c r="R35" s="378"/>
      <c r="S35" s="378"/>
      <c r="T35" s="378">
        <f t="shared" si="18"/>
        <v>0</v>
      </c>
      <c r="U35" s="378"/>
      <c r="V35" s="378"/>
      <c r="W35" s="378"/>
      <c r="X35" s="378"/>
      <c r="Y35" s="378">
        <f t="shared" si="19"/>
        <v>0</v>
      </c>
      <c r="Z35" s="378"/>
      <c r="AA35" s="378"/>
      <c r="AB35" s="378"/>
      <c r="AC35" s="378"/>
      <c r="AD35" s="378">
        <f t="shared" si="20"/>
        <v>0</v>
      </c>
      <c r="AE35" s="378"/>
      <c r="AF35" s="378"/>
      <c r="AG35" s="378"/>
      <c r="AH35" s="378"/>
      <c r="AI35" s="378">
        <f t="shared" si="21"/>
        <v>0</v>
      </c>
      <c r="AJ35" s="378"/>
      <c r="AK35" s="378"/>
      <c r="AL35" s="378"/>
      <c r="AM35" s="378"/>
      <c r="AN35" s="378">
        <f t="shared" si="22"/>
        <v>0</v>
      </c>
    </row>
    <row r="36" spans="2:40" ht="12" customHeight="1" x14ac:dyDescent="0.2">
      <c r="B36" s="406" t="s">
        <v>76</v>
      </c>
      <c r="C36" s="392" t="s">
        <v>77</v>
      </c>
      <c r="D36" s="374">
        <v>3</v>
      </c>
      <c r="E36" s="374" t="s">
        <v>65</v>
      </c>
      <c r="F36" s="375">
        <v>3678.4999999999995</v>
      </c>
      <c r="G36" s="375">
        <f t="shared" si="15"/>
        <v>11035.499999999998</v>
      </c>
      <c r="I36" s="135">
        <f t="shared" si="16"/>
        <v>14756</v>
      </c>
      <c r="J36" s="378">
        <v>14756</v>
      </c>
      <c r="K36" s="378"/>
      <c r="L36" s="378"/>
      <c r="M36" s="378"/>
      <c r="N36" s="378">
        <v>14756</v>
      </c>
      <c r="O36" s="378">
        <f t="shared" si="17"/>
        <v>14756</v>
      </c>
      <c r="P36" s="378"/>
      <c r="Q36" s="378"/>
      <c r="R36" s="378"/>
      <c r="S36" s="378"/>
      <c r="T36" s="378">
        <f t="shared" si="18"/>
        <v>0</v>
      </c>
      <c r="U36" s="378"/>
      <c r="V36" s="378"/>
      <c r="W36" s="378"/>
      <c r="X36" s="378"/>
      <c r="Y36" s="378">
        <f t="shared" si="19"/>
        <v>0</v>
      </c>
      <c r="Z36" s="378"/>
      <c r="AA36" s="378"/>
      <c r="AB36" s="378"/>
      <c r="AC36" s="378"/>
      <c r="AD36" s="378">
        <f t="shared" si="20"/>
        <v>0</v>
      </c>
      <c r="AE36" s="378"/>
      <c r="AF36" s="378"/>
      <c r="AG36" s="378"/>
      <c r="AH36" s="378"/>
      <c r="AI36" s="378">
        <f t="shared" si="21"/>
        <v>0</v>
      </c>
      <c r="AJ36" s="378"/>
      <c r="AK36" s="378"/>
      <c r="AL36" s="378"/>
      <c r="AM36" s="378"/>
      <c r="AN36" s="378">
        <f t="shared" si="22"/>
        <v>0</v>
      </c>
    </row>
    <row r="37" spans="2:40" ht="12" customHeight="1" x14ac:dyDescent="0.2">
      <c r="B37" s="406" t="s">
        <v>78</v>
      </c>
      <c r="C37" s="392" t="s">
        <v>79</v>
      </c>
      <c r="D37" s="374">
        <v>1</v>
      </c>
      <c r="E37" s="374" t="s">
        <v>65</v>
      </c>
      <c r="F37" s="375">
        <v>78825</v>
      </c>
      <c r="G37" s="375">
        <f t="shared" si="15"/>
        <v>78825</v>
      </c>
      <c r="I37" s="135">
        <f t="shared" si="16"/>
        <v>81037</v>
      </c>
      <c r="J37" s="378">
        <v>81037</v>
      </c>
      <c r="K37" s="378"/>
      <c r="L37" s="378"/>
      <c r="M37" s="378"/>
      <c r="N37" s="378">
        <v>81037</v>
      </c>
      <c r="O37" s="378">
        <f t="shared" si="17"/>
        <v>81037</v>
      </c>
      <c r="P37" s="378"/>
      <c r="Q37" s="378"/>
      <c r="R37" s="378"/>
      <c r="S37" s="378"/>
      <c r="T37" s="378">
        <f t="shared" si="18"/>
        <v>0</v>
      </c>
      <c r="U37" s="378"/>
      <c r="V37" s="378"/>
      <c r="W37" s="378"/>
      <c r="X37" s="378"/>
      <c r="Y37" s="378">
        <f t="shared" si="19"/>
        <v>0</v>
      </c>
      <c r="Z37" s="378"/>
      <c r="AA37" s="378"/>
      <c r="AB37" s="378"/>
      <c r="AC37" s="378"/>
      <c r="AD37" s="378">
        <f t="shared" si="20"/>
        <v>0</v>
      </c>
      <c r="AE37" s="378"/>
      <c r="AF37" s="378"/>
      <c r="AG37" s="378"/>
      <c r="AH37" s="378"/>
      <c r="AI37" s="378">
        <f t="shared" si="21"/>
        <v>0</v>
      </c>
      <c r="AJ37" s="378"/>
      <c r="AK37" s="378"/>
      <c r="AL37" s="378"/>
      <c r="AM37" s="378"/>
      <c r="AN37" s="378">
        <f t="shared" si="22"/>
        <v>0</v>
      </c>
    </row>
    <row r="38" spans="2:40" ht="12" customHeight="1" x14ac:dyDescent="0.2">
      <c r="B38" s="406" t="s">
        <v>80</v>
      </c>
      <c r="C38" s="392" t="s">
        <v>81</v>
      </c>
      <c r="D38" s="374">
        <v>1</v>
      </c>
      <c r="E38" s="374" t="s">
        <v>65</v>
      </c>
      <c r="F38" s="375">
        <v>50448</v>
      </c>
      <c r="G38" s="375">
        <f t="shared" si="15"/>
        <v>50448</v>
      </c>
      <c r="I38" s="135">
        <f t="shared" si="16"/>
        <v>186870</v>
      </c>
      <c r="J38" s="378">
        <v>186870</v>
      </c>
      <c r="K38" s="378"/>
      <c r="L38" s="378"/>
      <c r="M38" s="378"/>
      <c r="N38" s="378">
        <v>186870</v>
      </c>
      <c r="O38" s="378">
        <f t="shared" si="17"/>
        <v>186870</v>
      </c>
      <c r="P38" s="378"/>
      <c r="Q38" s="378"/>
      <c r="R38" s="378"/>
      <c r="S38" s="378"/>
      <c r="T38" s="378">
        <f t="shared" si="18"/>
        <v>0</v>
      </c>
      <c r="U38" s="378"/>
      <c r="V38" s="378"/>
      <c r="W38" s="378"/>
      <c r="X38" s="378"/>
      <c r="Y38" s="378">
        <f t="shared" si="19"/>
        <v>0</v>
      </c>
      <c r="Z38" s="378"/>
      <c r="AA38" s="378"/>
      <c r="AB38" s="378"/>
      <c r="AC38" s="378"/>
      <c r="AD38" s="378">
        <f t="shared" si="20"/>
        <v>0</v>
      </c>
      <c r="AE38" s="378"/>
      <c r="AF38" s="378"/>
      <c r="AG38" s="378"/>
      <c r="AH38" s="378"/>
      <c r="AI38" s="378">
        <f t="shared" si="21"/>
        <v>0</v>
      </c>
      <c r="AJ38" s="378"/>
      <c r="AK38" s="378"/>
      <c r="AL38" s="378"/>
      <c r="AM38" s="378"/>
      <c r="AN38" s="378">
        <f t="shared" si="22"/>
        <v>0</v>
      </c>
    </row>
    <row r="39" spans="2:40" ht="12" customHeight="1" x14ac:dyDescent="0.2">
      <c r="B39" s="404" t="s">
        <v>82</v>
      </c>
      <c r="C39" s="405" t="s">
        <v>83</v>
      </c>
      <c r="D39" s="393">
        <f>SUM(D40)</f>
        <v>1</v>
      </c>
      <c r="E39" s="393">
        <f>SUM(E40)</f>
        <v>0</v>
      </c>
      <c r="F39" s="389">
        <f>SUM(F40)</f>
        <v>58546503</v>
      </c>
      <c r="G39" s="389">
        <f>SUM(G40)</f>
        <v>58546503</v>
      </c>
      <c r="I39" s="390">
        <f t="shared" ref="I39:AN39" si="23">SUM(I40)</f>
        <v>58546503</v>
      </c>
      <c r="J39" s="390">
        <f t="shared" si="23"/>
        <v>58546503</v>
      </c>
      <c r="K39" s="390">
        <f t="shared" si="23"/>
        <v>0</v>
      </c>
      <c r="L39" s="390">
        <f t="shared" si="23"/>
        <v>0</v>
      </c>
      <c r="M39" s="390">
        <f t="shared" si="23"/>
        <v>58546503</v>
      </c>
      <c r="N39" s="390">
        <f t="shared" si="23"/>
        <v>0</v>
      </c>
      <c r="O39" s="390">
        <f t="shared" si="23"/>
        <v>58546503</v>
      </c>
      <c r="P39" s="390">
        <f t="shared" si="23"/>
        <v>0</v>
      </c>
      <c r="Q39" s="390">
        <f t="shared" si="23"/>
        <v>0</v>
      </c>
      <c r="R39" s="390">
        <f t="shared" si="23"/>
        <v>0</v>
      </c>
      <c r="S39" s="390">
        <f t="shared" si="23"/>
        <v>0</v>
      </c>
      <c r="T39" s="390">
        <f t="shared" si="23"/>
        <v>0</v>
      </c>
      <c r="U39" s="390">
        <f t="shared" si="23"/>
        <v>0</v>
      </c>
      <c r="V39" s="390">
        <f t="shared" si="23"/>
        <v>0</v>
      </c>
      <c r="W39" s="390">
        <f t="shared" si="23"/>
        <v>0</v>
      </c>
      <c r="X39" s="390">
        <f t="shared" si="23"/>
        <v>0</v>
      </c>
      <c r="Y39" s="390">
        <f t="shared" si="23"/>
        <v>0</v>
      </c>
      <c r="Z39" s="390">
        <f t="shared" si="23"/>
        <v>0</v>
      </c>
      <c r="AA39" s="390">
        <f t="shared" si="23"/>
        <v>0</v>
      </c>
      <c r="AB39" s="390">
        <f t="shared" si="23"/>
        <v>0</v>
      </c>
      <c r="AC39" s="390">
        <f t="shared" si="23"/>
        <v>0</v>
      </c>
      <c r="AD39" s="390">
        <f t="shared" si="23"/>
        <v>0</v>
      </c>
      <c r="AE39" s="390">
        <f t="shared" si="23"/>
        <v>0</v>
      </c>
      <c r="AF39" s="390">
        <f t="shared" si="23"/>
        <v>0</v>
      </c>
      <c r="AG39" s="390">
        <f t="shared" si="23"/>
        <v>0</v>
      </c>
      <c r="AH39" s="390">
        <f t="shared" si="23"/>
        <v>0</v>
      </c>
      <c r="AI39" s="390">
        <f t="shared" si="23"/>
        <v>0</v>
      </c>
      <c r="AJ39" s="390">
        <f t="shared" si="23"/>
        <v>0</v>
      </c>
      <c r="AK39" s="390">
        <f t="shared" si="23"/>
        <v>0</v>
      </c>
      <c r="AL39" s="390">
        <f t="shared" si="23"/>
        <v>0</v>
      </c>
      <c r="AM39" s="390">
        <f t="shared" si="23"/>
        <v>0</v>
      </c>
      <c r="AN39" s="390">
        <f t="shared" si="23"/>
        <v>0</v>
      </c>
    </row>
    <row r="40" spans="2:40" ht="12" customHeight="1" x14ac:dyDescent="0.2">
      <c r="B40" s="391" t="s">
        <v>84</v>
      </c>
      <c r="C40" s="392" t="s">
        <v>85</v>
      </c>
      <c r="D40" s="374">
        <v>1</v>
      </c>
      <c r="E40" s="374" t="s">
        <v>37</v>
      </c>
      <c r="F40" s="375">
        <v>58546503</v>
      </c>
      <c r="G40" s="375">
        <f>+D40*F40</f>
        <v>58546503</v>
      </c>
      <c r="I40" s="135">
        <f>(O40+T40+Y40+AD40+AI40+AN40)</f>
        <v>58546503</v>
      </c>
      <c r="J40" s="378">
        <v>58546503</v>
      </c>
      <c r="K40" s="378"/>
      <c r="L40" s="378"/>
      <c r="M40" s="378">
        <v>58546503</v>
      </c>
      <c r="N40" s="378"/>
      <c r="O40" s="378">
        <f>SUM(K40:N40)</f>
        <v>58546503</v>
      </c>
      <c r="P40" s="378"/>
      <c r="Q40" s="378"/>
      <c r="R40" s="378"/>
      <c r="S40" s="378"/>
      <c r="T40" s="378">
        <f>SUM(P40:S40)</f>
        <v>0</v>
      </c>
      <c r="U40" s="378"/>
      <c r="V40" s="378"/>
      <c r="W40" s="378"/>
      <c r="X40" s="378"/>
      <c r="Y40" s="378">
        <f>SUM(U40:X40)</f>
        <v>0</v>
      </c>
      <c r="Z40" s="378"/>
      <c r="AA40" s="378"/>
      <c r="AB40" s="378"/>
      <c r="AC40" s="378"/>
      <c r="AD40" s="378">
        <f>SUM(Z40:AC40)</f>
        <v>0</v>
      </c>
      <c r="AE40" s="378"/>
      <c r="AF40" s="378"/>
      <c r="AG40" s="378"/>
      <c r="AH40" s="378"/>
      <c r="AI40" s="378">
        <f>SUM(AE40:AH40)</f>
        <v>0</v>
      </c>
      <c r="AJ40" s="378"/>
      <c r="AK40" s="378"/>
      <c r="AL40" s="378"/>
      <c r="AM40" s="378"/>
      <c r="AN40" s="378">
        <f>SUM(AJ40:AM40)</f>
        <v>0</v>
      </c>
    </row>
    <row r="41" spans="2:40" ht="12" customHeight="1" x14ac:dyDescent="0.2">
      <c r="B41" s="384">
        <v>3</v>
      </c>
      <c r="C41" s="410" t="s">
        <v>86</v>
      </c>
      <c r="D41" s="411"/>
      <c r="E41" s="411"/>
      <c r="F41" s="385"/>
      <c r="G41" s="385">
        <f>G42</f>
        <v>0</v>
      </c>
      <c r="I41" s="386">
        <f t="shared" ref="I41:AN41" si="24">I42</f>
        <v>17881010</v>
      </c>
      <c r="J41" s="386">
        <f t="shared" si="24"/>
        <v>4200000</v>
      </c>
      <c r="K41" s="386">
        <f t="shared" si="24"/>
        <v>0</v>
      </c>
      <c r="L41" s="386">
        <f t="shared" si="24"/>
        <v>0</v>
      </c>
      <c r="M41" s="386">
        <f t="shared" si="24"/>
        <v>0</v>
      </c>
      <c r="N41" s="386">
        <f t="shared" si="24"/>
        <v>0</v>
      </c>
      <c r="O41" s="386">
        <f t="shared" si="24"/>
        <v>0</v>
      </c>
      <c r="P41" s="386">
        <f t="shared" si="24"/>
        <v>1497410</v>
      </c>
      <c r="Q41" s="386">
        <f t="shared" si="24"/>
        <v>0</v>
      </c>
      <c r="R41" s="386">
        <f t="shared" si="24"/>
        <v>0</v>
      </c>
      <c r="S41" s="386">
        <f t="shared" si="24"/>
        <v>0</v>
      </c>
      <c r="T41" s="386">
        <f t="shared" si="24"/>
        <v>1497410</v>
      </c>
      <c r="U41" s="386">
        <f t="shared" si="24"/>
        <v>0</v>
      </c>
      <c r="V41" s="386">
        <f t="shared" si="24"/>
        <v>2235000</v>
      </c>
      <c r="W41" s="386">
        <f t="shared" si="24"/>
        <v>0</v>
      </c>
      <c r="X41" s="386">
        <f t="shared" si="24"/>
        <v>0</v>
      </c>
      <c r="Y41" s="386">
        <f t="shared" si="24"/>
        <v>2235000</v>
      </c>
      <c r="Z41" s="386">
        <f t="shared" si="24"/>
        <v>0</v>
      </c>
      <c r="AA41" s="386">
        <f t="shared" si="24"/>
        <v>0</v>
      </c>
      <c r="AB41" s="386">
        <f t="shared" si="24"/>
        <v>4716200</v>
      </c>
      <c r="AC41" s="386">
        <f t="shared" si="24"/>
        <v>0</v>
      </c>
      <c r="AD41" s="386">
        <f t="shared" si="24"/>
        <v>4716200</v>
      </c>
      <c r="AE41" s="386">
        <f t="shared" si="24"/>
        <v>0</v>
      </c>
      <c r="AF41" s="386">
        <f t="shared" si="24"/>
        <v>0</v>
      </c>
      <c r="AG41" s="386">
        <f t="shared" si="24"/>
        <v>4716200</v>
      </c>
      <c r="AH41" s="386">
        <f t="shared" si="24"/>
        <v>0</v>
      </c>
      <c r="AI41" s="386">
        <f t="shared" si="24"/>
        <v>4716200</v>
      </c>
      <c r="AJ41" s="386">
        <f t="shared" si="24"/>
        <v>0</v>
      </c>
      <c r="AK41" s="386">
        <f t="shared" si="24"/>
        <v>0</v>
      </c>
      <c r="AL41" s="386">
        <f t="shared" si="24"/>
        <v>4716200</v>
      </c>
      <c r="AM41" s="386">
        <f t="shared" si="24"/>
        <v>0</v>
      </c>
      <c r="AN41" s="386">
        <f t="shared" si="24"/>
        <v>4716200</v>
      </c>
    </row>
    <row r="42" spans="2:40" ht="12" customHeight="1" x14ac:dyDescent="0.2">
      <c r="B42" s="404" t="s">
        <v>87</v>
      </c>
      <c r="C42" s="405" t="s">
        <v>86</v>
      </c>
      <c r="D42" s="393"/>
      <c r="E42" s="393"/>
      <c r="F42" s="389"/>
      <c r="G42" s="389">
        <f>SUM(G43:G46)</f>
        <v>0</v>
      </c>
      <c r="I42" s="390">
        <f t="shared" ref="I42:AN42" si="25">SUM(I43:I46)</f>
        <v>17881010</v>
      </c>
      <c r="J42" s="390">
        <f t="shared" si="25"/>
        <v>4200000</v>
      </c>
      <c r="K42" s="390">
        <f t="shared" si="25"/>
        <v>0</v>
      </c>
      <c r="L42" s="390">
        <f t="shared" si="25"/>
        <v>0</v>
      </c>
      <c r="M42" s="390">
        <f t="shared" si="25"/>
        <v>0</v>
      </c>
      <c r="N42" s="390">
        <f t="shared" si="25"/>
        <v>0</v>
      </c>
      <c r="O42" s="390">
        <f t="shared" si="25"/>
        <v>0</v>
      </c>
      <c r="P42" s="390">
        <f t="shared" si="25"/>
        <v>1497410</v>
      </c>
      <c r="Q42" s="390">
        <f t="shared" si="25"/>
        <v>0</v>
      </c>
      <c r="R42" s="390">
        <f t="shared" si="25"/>
        <v>0</v>
      </c>
      <c r="S42" s="390">
        <f t="shared" si="25"/>
        <v>0</v>
      </c>
      <c r="T42" s="390">
        <f t="shared" si="25"/>
        <v>1497410</v>
      </c>
      <c r="U42" s="390">
        <f t="shared" si="25"/>
        <v>0</v>
      </c>
      <c r="V42" s="390">
        <f t="shared" si="25"/>
        <v>2235000</v>
      </c>
      <c r="W42" s="390">
        <f t="shared" si="25"/>
        <v>0</v>
      </c>
      <c r="X42" s="390">
        <f t="shared" si="25"/>
        <v>0</v>
      </c>
      <c r="Y42" s="390">
        <f t="shared" si="25"/>
        <v>2235000</v>
      </c>
      <c r="Z42" s="390">
        <f t="shared" si="25"/>
        <v>0</v>
      </c>
      <c r="AA42" s="390">
        <f t="shared" si="25"/>
        <v>0</v>
      </c>
      <c r="AB42" s="390">
        <f t="shared" si="25"/>
        <v>4716200</v>
      </c>
      <c r="AC42" s="390">
        <f t="shared" si="25"/>
        <v>0</v>
      </c>
      <c r="AD42" s="390">
        <f t="shared" si="25"/>
        <v>4716200</v>
      </c>
      <c r="AE42" s="390">
        <f t="shared" si="25"/>
        <v>0</v>
      </c>
      <c r="AF42" s="390">
        <f t="shared" si="25"/>
        <v>0</v>
      </c>
      <c r="AG42" s="390">
        <f t="shared" si="25"/>
        <v>4716200</v>
      </c>
      <c r="AH42" s="390">
        <f t="shared" si="25"/>
        <v>0</v>
      </c>
      <c r="AI42" s="390">
        <f t="shared" si="25"/>
        <v>4716200</v>
      </c>
      <c r="AJ42" s="390">
        <f t="shared" si="25"/>
        <v>0</v>
      </c>
      <c r="AK42" s="390">
        <f t="shared" si="25"/>
        <v>0</v>
      </c>
      <c r="AL42" s="390">
        <f t="shared" si="25"/>
        <v>4716200</v>
      </c>
      <c r="AM42" s="390">
        <f t="shared" si="25"/>
        <v>0</v>
      </c>
      <c r="AN42" s="390">
        <f t="shared" si="25"/>
        <v>4716200</v>
      </c>
    </row>
    <row r="43" spans="2:40" ht="12" customHeight="1" x14ac:dyDescent="0.2">
      <c r="B43" s="391" t="s">
        <v>88</v>
      </c>
      <c r="C43" s="392" t="s">
        <v>89</v>
      </c>
      <c r="D43" s="374"/>
      <c r="E43" s="374"/>
      <c r="F43" s="375"/>
      <c r="G43" s="375"/>
      <c r="I43" s="135">
        <f>(O43+T43+Y43+AD43+AI43+AN43)</f>
        <v>9048000</v>
      </c>
      <c r="J43" s="378">
        <v>1237600</v>
      </c>
      <c r="K43" s="378"/>
      <c r="L43" s="378"/>
      <c r="M43" s="378"/>
      <c r="N43" s="378"/>
      <c r="O43" s="378">
        <f>SUM(K43:N43)</f>
        <v>0</v>
      </c>
      <c r="P43" s="378">
        <v>500000</v>
      </c>
      <c r="Q43" s="378"/>
      <c r="R43" s="378"/>
      <c r="S43" s="378"/>
      <c r="T43" s="378">
        <f>SUM(P43:S43)</f>
        <v>500000</v>
      </c>
      <c r="U43" s="378"/>
      <c r="V43" s="378">
        <v>1348000</v>
      </c>
      <c r="W43" s="378"/>
      <c r="X43" s="378"/>
      <c r="Y43" s="378">
        <f>SUM(U43:X43)</f>
        <v>1348000</v>
      </c>
      <c r="Z43" s="378"/>
      <c r="AA43" s="378"/>
      <c r="AB43" s="378">
        <v>2400000</v>
      </c>
      <c r="AC43" s="378"/>
      <c r="AD43" s="378">
        <f>SUM(Z43:AC43)</f>
        <v>2400000</v>
      </c>
      <c r="AE43" s="378"/>
      <c r="AF43" s="378"/>
      <c r="AG43" s="378">
        <v>2400000</v>
      </c>
      <c r="AH43" s="378"/>
      <c r="AI43" s="378">
        <f>SUM(AE43:AH43)</f>
        <v>2400000</v>
      </c>
      <c r="AJ43" s="378"/>
      <c r="AK43" s="378"/>
      <c r="AL43" s="378">
        <v>2400000</v>
      </c>
      <c r="AM43" s="378"/>
      <c r="AN43" s="378">
        <f>SUM(AJ43:AM43)</f>
        <v>2400000</v>
      </c>
    </row>
    <row r="44" spans="2:40" ht="12" customHeight="1" x14ac:dyDescent="0.2">
      <c r="B44" s="391" t="s">
        <v>90</v>
      </c>
      <c r="C44" s="392" t="s">
        <v>91</v>
      </c>
      <c r="D44" s="374"/>
      <c r="E44" s="374"/>
      <c r="F44" s="375"/>
      <c r="G44" s="375"/>
      <c r="I44" s="135">
        <f>(O44+T44+Y44+AD44+AI44+AN44)</f>
        <v>586500</v>
      </c>
      <c r="J44" s="378">
        <v>292400</v>
      </c>
      <c r="K44" s="378"/>
      <c r="L44" s="378"/>
      <c r="M44" s="378"/>
      <c r="N44" s="378"/>
      <c r="O44" s="378">
        <f>SUM(K44:N44)</f>
        <v>0</v>
      </c>
      <c r="P44" s="378">
        <v>147900</v>
      </c>
      <c r="Q44" s="378"/>
      <c r="R44" s="378"/>
      <c r="S44" s="378"/>
      <c r="T44" s="378">
        <f>SUM(P44:S44)</f>
        <v>147900</v>
      </c>
      <c r="U44" s="378"/>
      <c r="V44" s="378"/>
      <c r="W44" s="378"/>
      <c r="X44" s="378"/>
      <c r="Y44" s="378">
        <f>SUM(U44:X44)</f>
        <v>0</v>
      </c>
      <c r="Z44" s="378"/>
      <c r="AA44" s="378"/>
      <c r="AB44" s="378">
        <v>146200</v>
      </c>
      <c r="AC44" s="378"/>
      <c r="AD44" s="378">
        <f>SUM(Z44:AC44)</f>
        <v>146200</v>
      </c>
      <c r="AE44" s="378"/>
      <c r="AF44" s="378"/>
      <c r="AG44" s="378">
        <v>146200</v>
      </c>
      <c r="AH44" s="378"/>
      <c r="AI44" s="378">
        <f>SUM(AE44:AH44)</f>
        <v>146200</v>
      </c>
      <c r="AJ44" s="378"/>
      <c r="AK44" s="378"/>
      <c r="AL44" s="378">
        <v>146200</v>
      </c>
      <c r="AM44" s="378"/>
      <c r="AN44" s="378">
        <f>SUM(AJ44:AM44)</f>
        <v>146200</v>
      </c>
    </row>
    <row r="45" spans="2:40" ht="12" customHeight="1" x14ac:dyDescent="0.2">
      <c r="B45" s="391" t="s">
        <v>92</v>
      </c>
      <c r="C45" s="392" t="s">
        <v>93</v>
      </c>
      <c r="D45" s="374"/>
      <c r="E45" s="374"/>
      <c r="F45" s="375"/>
      <c r="G45" s="375"/>
      <c r="I45" s="135">
        <f>(O45+T45+Y45+AD45+AI45+AN45)</f>
        <v>1539510</v>
      </c>
      <c r="J45" s="378">
        <v>2190000</v>
      </c>
      <c r="K45" s="378"/>
      <c r="L45" s="378"/>
      <c r="M45" s="378"/>
      <c r="N45" s="378"/>
      <c r="O45" s="378">
        <f>SUM(K45:N45)</f>
        <v>0</v>
      </c>
      <c r="P45" s="378">
        <v>609510</v>
      </c>
      <c r="Q45" s="378"/>
      <c r="R45" s="378"/>
      <c r="S45" s="378"/>
      <c r="T45" s="378">
        <f>SUM(P45:S45)</f>
        <v>609510</v>
      </c>
      <c r="U45" s="378"/>
      <c r="V45" s="378"/>
      <c r="W45" s="378"/>
      <c r="X45" s="378"/>
      <c r="Y45" s="378">
        <f>SUM(U45:X45)</f>
        <v>0</v>
      </c>
      <c r="Z45" s="378"/>
      <c r="AA45" s="378"/>
      <c r="AB45" s="378">
        <v>310000</v>
      </c>
      <c r="AC45" s="378"/>
      <c r="AD45" s="378">
        <f>SUM(Z45:AC45)</f>
        <v>310000</v>
      </c>
      <c r="AE45" s="378"/>
      <c r="AF45" s="378"/>
      <c r="AG45" s="378">
        <v>310000</v>
      </c>
      <c r="AH45" s="378"/>
      <c r="AI45" s="378">
        <f>SUM(AE45:AH45)</f>
        <v>310000</v>
      </c>
      <c r="AJ45" s="378"/>
      <c r="AK45" s="378"/>
      <c r="AL45" s="378">
        <v>310000</v>
      </c>
      <c r="AM45" s="378"/>
      <c r="AN45" s="378">
        <f>SUM(AJ45:AM45)</f>
        <v>310000</v>
      </c>
    </row>
    <row r="46" spans="2:40" ht="12" customHeight="1" x14ac:dyDescent="0.2">
      <c r="B46" s="391" t="s">
        <v>94</v>
      </c>
      <c r="C46" s="392" t="s">
        <v>95</v>
      </c>
      <c r="D46" s="374"/>
      <c r="E46" s="374"/>
      <c r="F46" s="375"/>
      <c r="G46" s="375"/>
      <c r="I46" s="135">
        <f>(O46+T46+Y46+AD46+AI46+AN46)</f>
        <v>6707000</v>
      </c>
      <c r="J46" s="378">
        <v>480000</v>
      </c>
      <c r="K46" s="378"/>
      <c r="L46" s="378"/>
      <c r="M46" s="378"/>
      <c r="N46" s="378"/>
      <c r="O46" s="378">
        <f>SUM(K46:N46)</f>
        <v>0</v>
      </c>
      <c r="P46" s="378">
        <v>240000</v>
      </c>
      <c r="Q46" s="378"/>
      <c r="R46" s="378"/>
      <c r="S46" s="378"/>
      <c r="T46" s="378">
        <f>SUM(P46:S46)</f>
        <v>240000</v>
      </c>
      <c r="U46" s="378"/>
      <c r="V46" s="378">
        <v>887000</v>
      </c>
      <c r="W46" s="378"/>
      <c r="X46" s="378"/>
      <c r="Y46" s="378">
        <f>SUM(U46:X46)</f>
        <v>887000</v>
      </c>
      <c r="Z46" s="378"/>
      <c r="AA46" s="378"/>
      <c r="AB46" s="378">
        <v>1860000</v>
      </c>
      <c r="AC46" s="378"/>
      <c r="AD46" s="378">
        <f>SUM(Z46:AC46)</f>
        <v>1860000</v>
      </c>
      <c r="AE46" s="378"/>
      <c r="AF46" s="378"/>
      <c r="AG46" s="378">
        <v>1860000</v>
      </c>
      <c r="AH46" s="378"/>
      <c r="AI46" s="378">
        <f>SUM(AE46:AH46)</f>
        <v>1860000</v>
      </c>
      <c r="AJ46" s="378"/>
      <c r="AK46" s="378"/>
      <c r="AL46" s="378">
        <v>1860000</v>
      </c>
      <c r="AM46" s="378"/>
      <c r="AN46" s="378">
        <f>SUM(AJ46:AM46)</f>
        <v>1860000</v>
      </c>
    </row>
    <row r="47" spans="2:40" ht="12" customHeight="1" x14ac:dyDescent="0.2">
      <c r="B47" s="384">
        <v>4</v>
      </c>
      <c r="C47" s="410" t="s">
        <v>96</v>
      </c>
      <c r="D47" s="411"/>
      <c r="E47" s="411"/>
      <c r="F47" s="385"/>
      <c r="G47" s="385">
        <f>G48</f>
        <v>0</v>
      </c>
      <c r="I47" s="386">
        <f t="shared" ref="I47:R48" si="26">I48</f>
        <v>11448635.5</v>
      </c>
      <c r="J47" s="386">
        <f t="shared" si="26"/>
        <v>11448635</v>
      </c>
      <c r="K47" s="386">
        <f t="shared" si="26"/>
        <v>0</v>
      </c>
      <c r="L47" s="386">
        <f t="shared" si="26"/>
        <v>0</v>
      </c>
      <c r="M47" s="386">
        <f t="shared" si="26"/>
        <v>0</v>
      </c>
      <c r="N47" s="386">
        <f t="shared" si="26"/>
        <v>0</v>
      </c>
      <c r="O47" s="386">
        <f t="shared" si="26"/>
        <v>0</v>
      </c>
      <c r="P47" s="386">
        <f t="shared" si="26"/>
        <v>0</v>
      </c>
      <c r="Q47" s="386">
        <f t="shared" si="26"/>
        <v>0</v>
      </c>
      <c r="R47" s="386">
        <f t="shared" si="26"/>
        <v>0</v>
      </c>
      <c r="S47" s="386">
        <f t="shared" ref="S47:AB48" si="27">S48</f>
        <v>0</v>
      </c>
      <c r="T47" s="386">
        <f t="shared" si="27"/>
        <v>0</v>
      </c>
      <c r="U47" s="386">
        <f t="shared" si="27"/>
        <v>0</v>
      </c>
      <c r="V47" s="386">
        <f t="shared" si="27"/>
        <v>0</v>
      </c>
      <c r="W47" s="386">
        <f t="shared" si="27"/>
        <v>0</v>
      </c>
      <c r="X47" s="386">
        <f t="shared" si="27"/>
        <v>0</v>
      </c>
      <c r="Y47" s="386">
        <f t="shared" si="27"/>
        <v>0</v>
      </c>
      <c r="Z47" s="386">
        <f t="shared" si="27"/>
        <v>0</v>
      </c>
      <c r="AA47" s="386">
        <f t="shared" si="27"/>
        <v>0</v>
      </c>
      <c r="AB47" s="386">
        <f t="shared" si="27"/>
        <v>0</v>
      </c>
      <c r="AC47" s="386">
        <f t="shared" ref="AC47:AL48" si="28">AC48</f>
        <v>0</v>
      </c>
      <c r="AD47" s="386">
        <f t="shared" si="28"/>
        <v>0</v>
      </c>
      <c r="AE47" s="386">
        <f t="shared" si="28"/>
        <v>0</v>
      </c>
      <c r="AF47" s="386">
        <f t="shared" si="28"/>
        <v>5724317.5</v>
      </c>
      <c r="AG47" s="386">
        <f t="shared" si="28"/>
        <v>0</v>
      </c>
      <c r="AH47" s="386">
        <f t="shared" si="28"/>
        <v>5724318</v>
      </c>
      <c r="AI47" s="386">
        <f t="shared" si="28"/>
        <v>11448635.5</v>
      </c>
      <c r="AJ47" s="386">
        <f t="shared" si="28"/>
        <v>0</v>
      </c>
      <c r="AK47" s="386">
        <f t="shared" si="28"/>
        <v>0</v>
      </c>
      <c r="AL47" s="386">
        <f t="shared" si="28"/>
        <v>0</v>
      </c>
      <c r="AM47" s="386">
        <f t="shared" ref="AM47:AN48" si="29">AM48</f>
        <v>0</v>
      </c>
      <c r="AN47" s="386">
        <f t="shared" si="29"/>
        <v>0</v>
      </c>
    </row>
    <row r="48" spans="2:40" ht="12" customHeight="1" x14ac:dyDescent="0.2">
      <c r="B48" s="404" t="s">
        <v>97</v>
      </c>
      <c r="C48" s="405" t="s">
        <v>98</v>
      </c>
      <c r="D48" s="393"/>
      <c r="E48" s="393"/>
      <c r="F48" s="389"/>
      <c r="G48" s="389">
        <f>G49</f>
        <v>0</v>
      </c>
      <c r="I48" s="390">
        <f t="shared" si="26"/>
        <v>11448635.5</v>
      </c>
      <c r="J48" s="390">
        <f t="shared" si="26"/>
        <v>11448635</v>
      </c>
      <c r="K48" s="390">
        <f t="shared" si="26"/>
        <v>0</v>
      </c>
      <c r="L48" s="390">
        <f t="shared" si="26"/>
        <v>0</v>
      </c>
      <c r="M48" s="390">
        <f t="shared" si="26"/>
        <v>0</v>
      </c>
      <c r="N48" s="390">
        <f t="shared" si="26"/>
        <v>0</v>
      </c>
      <c r="O48" s="390">
        <f t="shared" si="26"/>
        <v>0</v>
      </c>
      <c r="P48" s="390">
        <f t="shared" si="26"/>
        <v>0</v>
      </c>
      <c r="Q48" s="390">
        <f t="shared" si="26"/>
        <v>0</v>
      </c>
      <c r="R48" s="390">
        <f t="shared" si="26"/>
        <v>0</v>
      </c>
      <c r="S48" s="390">
        <f t="shared" si="27"/>
        <v>0</v>
      </c>
      <c r="T48" s="390">
        <f t="shared" si="27"/>
        <v>0</v>
      </c>
      <c r="U48" s="390">
        <f t="shared" si="27"/>
        <v>0</v>
      </c>
      <c r="V48" s="390">
        <f t="shared" si="27"/>
        <v>0</v>
      </c>
      <c r="W48" s="390">
        <f t="shared" si="27"/>
        <v>0</v>
      </c>
      <c r="X48" s="390">
        <f t="shared" si="27"/>
        <v>0</v>
      </c>
      <c r="Y48" s="390">
        <f t="shared" si="27"/>
        <v>0</v>
      </c>
      <c r="Z48" s="390">
        <f t="shared" si="27"/>
        <v>0</v>
      </c>
      <c r="AA48" s="390">
        <f t="shared" si="27"/>
        <v>0</v>
      </c>
      <c r="AB48" s="390">
        <f t="shared" si="27"/>
        <v>0</v>
      </c>
      <c r="AC48" s="390">
        <f t="shared" si="28"/>
        <v>0</v>
      </c>
      <c r="AD48" s="390">
        <f t="shared" si="28"/>
        <v>0</v>
      </c>
      <c r="AE48" s="390">
        <f t="shared" si="28"/>
        <v>0</v>
      </c>
      <c r="AF48" s="390">
        <f t="shared" si="28"/>
        <v>5724317.5</v>
      </c>
      <c r="AG48" s="390">
        <f t="shared" si="28"/>
        <v>0</v>
      </c>
      <c r="AH48" s="390">
        <f t="shared" si="28"/>
        <v>5724318</v>
      </c>
      <c r="AI48" s="390">
        <f t="shared" si="28"/>
        <v>11448635.5</v>
      </c>
      <c r="AJ48" s="390">
        <f t="shared" si="28"/>
        <v>0</v>
      </c>
      <c r="AK48" s="390">
        <f t="shared" si="28"/>
        <v>0</v>
      </c>
      <c r="AL48" s="390">
        <f t="shared" si="28"/>
        <v>0</v>
      </c>
      <c r="AM48" s="390">
        <f t="shared" si="29"/>
        <v>0</v>
      </c>
      <c r="AN48" s="390">
        <f t="shared" si="29"/>
        <v>0</v>
      </c>
    </row>
    <row r="49" spans="2:40" ht="12" customHeight="1" x14ac:dyDescent="0.2">
      <c r="B49" s="412" t="s">
        <v>99</v>
      </c>
      <c r="C49" s="413" t="s">
        <v>98</v>
      </c>
      <c r="D49" s="414"/>
      <c r="E49" s="414"/>
      <c r="F49" s="415"/>
      <c r="G49" s="375"/>
      <c r="I49" s="135">
        <f>(O49+T49+Y49+AD49+AI49+AN49)</f>
        <v>11448635.5</v>
      </c>
      <c r="J49" s="378">
        <v>11448635</v>
      </c>
      <c r="K49" s="378"/>
      <c r="L49" s="378"/>
      <c r="M49" s="378"/>
      <c r="N49" s="378"/>
      <c r="O49" s="378">
        <f>SUM(K49:N49)</f>
        <v>0</v>
      </c>
      <c r="P49" s="378"/>
      <c r="Q49" s="378"/>
      <c r="R49" s="378"/>
      <c r="S49" s="378"/>
      <c r="T49" s="378">
        <f>SUM(P49:S49)</f>
        <v>0</v>
      </c>
      <c r="U49" s="378"/>
      <c r="V49" s="378"/>
      <c r="W49" s="378"/>
      <c r="X49" s="378"/>
      <c r="Y49" s="378">
        <f>SUM(U49:X49)</f>
        <v>0</v>
      </c>
      <c r="Z49" s="378"/>
      <c r="AA49" s="378"/>
      <c r="AB49" s="378"/>
      <c r="AC49" s="378"/>
      <c r="AD49" s="378">
        <f>SUM(Z49:AC49)</f>
        <v>0</v>
      </c>
      <c r="AE49" s="378"/>
      <c r="AF49" s="378">
        <v>5724317.5</v>
      </c>
      <c r="AG49" s="378"/>
      <c r="AH49" s="378">
        <v>5724318</v>
      </c>
      <c r="AI49" s="378">
        <f>SUM(AE49:AH49)</f>
        <v>11448635.5</v>
      </c>
      <c r="AJ49" s="378"/>
      <c r="AK49" s="378"/>
      <c r="AL49" s="378"/>
      <c r="AM49" s="378"/>
      <c r="AN49" s="378">
        <f>SUM(AJ49:AM49)</f>
        <v>0</v>
      </c>
    </row>
    <row r="50" spans="2:40" ht="12" customHeight="1" x14ac:dyDescent="0.2">
      <c r="B50" s="384">
        <v>5</v>
      </c>
      <c r="C50" s="410" t="s">
        <v>100</v>
      </c>
      <c r="D50" s="411"/>
      <c r="E50" s="411"/>
      <c r="F50" s="385"/>
      <c r="G50" s="385">
        <f>SUM(G51)</f>
        <v>0</v>
      </c>
      <c r="I50" s="386">
        <f t="shared" ref="I50:AN50" si="30">SUM(I51)</f>
        <v>243444435.63999999</v>
      </c>
      <c r="J50" s="386">
        <f t="shared" si="30"/>
        <v>2045743.2799999998</v>
      </c>
      <c r="K50" s="416">
        <f t="shared" si="30"/>
        <v>0</v>
      </c>
      <c r="L50" s="416">
        <f t="shared" si="30"/>
        <v>0</v>
      </c>
      <c r="M50" s="416">
        <f t="shared" si="30"/>
        <v>0</v>
      </c>
      <c r="N50" s="416">
        <f t="shared" si="30"/>
        <v>0</v>
      </c>
      <c r="O50" s="416">
        <f t="shared" si="30"/>
        <v>0</v>
      </c>
      <c r="P50" s="416">
        <f t="shared" si="30"/>
        <v>0</v>
      </c>
      <c r="Q50" s="416">
        <f t="shared" si="30"/>
        <v>48</v>
      </c>
      <c r="R50" s="416">
        <f t="shared" si="30"/>
        <v>0</v>
      </c>
      <c r="S50" s="416">
        <f t="shared" si="30"/>
        <v>102</v>
      </c>
      <c r="T50" s="416">
        <f t="shared" si="30"/>
        <v>150</v>
      </c>
      <c r="U50" s="416">
        <f t="shared" si="30"/>
        <v>0</v>
      </c>
      <c r="V50" s="416">
        <f t="shared" si="30"/>
        <v>0</v>
      </c>
      <c r="W50" s="416">
        <f t="shared" si="30"/>
        <v>0</v>
      </c>
      <c r="X50" s="416">
        <f t="shared" si="30"/>
        <v>0</v>
      </c>
      <c r="Y50" s="416">
        <f t="shared" si="30"/>
        <v>0</v>
      </c>
      <c r="Z50" s="416">
        <f t="shared" si="30"/>
        <v>0</v>
      </c>
      <c r="AA50" s="416">
        <f t="shared" si="30"/>
        <v>164</v>
      </c>
      <c r="AB50" s="416">
        <f t="shared" si="30"/>
        <v>0</v>
      </c>
      <c r="AC50" s="416">
        <f t="shared" si="30"/>
        <v>0</v>
      </c>
      <c r="AD50" s="416">
        <f t="shared" si="30"/>
        <v>164</v>
      </c>
      <c r="AE50" s="416">
        <f t="shared" si="30"/>
        <v>0</v>
      </c>
      <c r="AF50" s="416">
        <f t="shared" si="30"/>
        <v>0</v>
      </c>
      <c r="AG50" s="416">
        <f t="shared" si="30"/>
        <v>0</v>
      </c>
      <c r="AH50" s="416">
        <f t="shared" si="30"/>
        <v>0</v>
      </c>
      <c r="AI50" s="416">
        <f t="shared" si="30"/>
        <v>0</v>
      </c>
      <c r="AJ50" s="416">
        <f t="shared" si="30"/>
        <v>0</v>
      </c>
      <c r="AK50" s="416">
        <f t="shared" si="30"/>
        <v>0</v>
      </c>
      <c r="AL50" s="416">
        <f t="shared" si="30"/>
        <v>0</v>
      </c>
      <c r="AM50" s="416">
        <f t="shared" si="30"/>
        <v>0</v>
      </c>
      <c r="AN50" s="416">
        <f t="shared" si="30"/>
        <v>0</v>
      </c>
    </row>
    <row r="51" spans="2:40" ht="12" customHeight="1" x14ac:dyDescent="0.2">
      <c r="B51" s="404" t="s">
        <v>101</v>
      </c>
      <c r="C51" s="405" t="s">
        <v>102</v>
      </c>
      <c r="D51" s="393"/>
      <c r="E51" s="393"/>
      <c r="F51" s="389"/>
      <c r="G51" s="389">
        <f>G53</f>
        <v>0</v>
      </c>
      <c r="I51" s="390">
        <f t="shared" ref="I51:AN51" si="31">I52+I56</f>
        <v>243444435.63999999</v>
      </c>
      <c r="J51" s="390">
        <f t="shared" si="31"/>
        <v>2045743.2799999998</v>
      </c>
      <c r="K51" s="417">
        <f t="shared" si="31"/>
        <v>0</v>
      </c>
      <c r="L51" s="417">
        <f t="shared" si="31"/>
        <v>0</v>
      </c>
      <c r="M51" s="417">
        <f t="shared" si="31"/>
        <v>0</v>
      </c>
      <c r="N51" s="417">
        <f t="shared" si="31"/>
        <v>0</v>
      </c>
      <c r="O51" s="417">
        <f t="shared" si="31"/>
        <v>0</v>
      </c>
      <c r="P51" s="417">
        <f t="shared" si="31"/>
        <v>0</v>
      </c>
      <c r="Q51" s="417">
        <f t="shared" si="31"/>
        <v>48</v>
      </c>
      <c r="R51" s="417">
        <f t="shared" si="31"/>
        <v>0</v>
      </c>
      <c r="S51" s="417">
        <f t="shared" si="31"/>
        <v>102</v>
      </c>
      <c r="T51" s="417">
        <f t="shared" si="31"/>
        <v>150</v>
      </c>
      <c r="U51" s="417">
        <f t="shared" si="31"/>
        <v>0</v>
      </c>
      <c r="V51" s="417">
        <f t="shared" si="31"/>
        <v>0</v>
      </c>
      <c r="W51" s="417">
        <f t="shared" si="31"/>
        <v>0</v>
      </c>
      <c r="X51" s="417">
        <f t="shared" si="31"/>
        <v>0</v>
      </c>
      <c r="Y51" s="417">
        <f t="shared" si="31"/>
        <v>0</v>
      </c>
      <c r="Z51" s="417">
        <f t="shared" si="31"/>
        <v>0</v>
      </c>
      <c r="AA51" s="417">
        <f t="shared" si="31"/>
        <v>164</v>
      </c>
      <c r="AB51" s="417">
        <f t="shared" si="31"/>
        <v>0</v>
      </c>
      <c r="AC51" s="417">
        <f t="shared" si="31"/>
        <v>0</v>
      </c>
      <c r="AD51" s="417">
        <f t="shared" si="31"/>
        <v>164</v>
      </c>
      <c r="AE51" s="417">
        <f t="shared" si="31"/>
        <v>0</v>
      </c>
      <c r="AF51" s="417">
        <f t="shared" si="31"/>
        <v>0</v>
      </c>
      <c r="AG51" s="417">
        <f t="shared" si="31"/>
        <v>0</v>
      </c>
      <c r="AH51" s="417">
        <f t="shared" si="31"/>
        <v>0</v>
      </c>
      <c r="AI51" s="417">
        <f t="shared" si="31"/>
        <v>0</v>
      </c>
      <c r="AJ51" s="417">
        <f t="shared" si="31"/>
        <v>0</v>
      </c>
      <c r="AK51" s="417">
        <f t="shared" si="31"/>
        <v>0</v>
      </c>
      <c r="AL51" s="417">
        <f t="shared" si="31"/>
        <v>0</v>
      </c>
      <c r="AM51" s="417">
        <f t="shared" si="31"/>
        <v>0</v>
      </c>
      <c r="AN51" s="417">
        <f t="shared" si="31"/>
        <v>0</v>
      </c>
    </row>
    <row r="52" spans="2:40" ht="12" customHeight="1" x14ac:dyDescent="0.2">
      <c r="B52" s="418" t="s">
        <v>103</v>
      </c>
      <c r="C52" s="419" t="s">
        <v>104</v>
      </c>
      <c r="D52" s="420"/>
      <c r="E52" s="420"/>
      <c r="F52" s="421"/>
      <c r="G52" s="422"/>
      <c r="I52" s="423">
        <f t="shared" ref="I52:AN52" si="32">SUM(I53:I55)</f>
        <v>93907564.799999982</v>
      </c>
      <c r="J52" s="423">
        <f t="shared" si="32"/>
        <v>866096.27999999991</v>
      </c>
      <c r="K52" s="424">
        <f t="shared" si="32"/>
        <v>0</v>
      </c>
      <c r="L52" s="424">
        <f t="shared" si="32"/>
        <v>0</v>
      </c>
      <c r="M52" s="424">
        <f t="shared" si="32"/>
        <v>0</v>
      </c>
      <c r="N52" s="424">
        <f t="shared" si="32"/>
        <v>0</v>
      </c>
      <c r="O52" s="424">
        <f t="shared" si="32"/>
        <v>0</v>
      </c>
      <c r="P52" s="424">
        <f t="shared" si="32"/>
        <v>0</v>
      </c>
      <c r="Q52" s="424">
        <f t="shared" si="32"/>
        <v>48</v>
      </c>
      <c r="R52" s="424">
        <f t="shared" si="32"/>
        <v>0</v>
      </c>
      <c r="S52" s="424">
        <f t="shared" si="32"/>
        <v>102</v>
      </c>
      <c r="T52" s="424">
        <f t="shared" si="32"/>
        <v>150</v>
      </c>
      <c r="U52" s="424">
        <f t="shared" si="32"/>
        <v>0</v>
      </c>
      <c r="V52" s="424">
        <f t="shared" si="32"/>
        <v>0</v>
      </c>
      <c r="W52" s="424">
        <f t="shared" si="32"/>
        <v>0</v>
      </c>
      <c r="X52" s="424">
        <f t="shared" si="32"/>
        <v>0</v>
      </c>
      <c r="Y52" s="424">
        <f t="shared" si="32"/>
        <v>0</v>
      </c>
      <c r="Z52" s="424">
        <f t="shared" si="32"/>
        <v>0</v>
      </c>
      <c r="AA52" s="424">
        <f t="shared" si="32"/>
        <v>0</v>
      </c>
      <c r="AB52" s="424">
        <f t="shared" si="32"/>
        <v>0</v>
      </c>
      <c r="AC52" s="424">
        <f t="shared" si="32"/>
        <v>0</v>
      </c>
      <c r="AD52" s="424">
        <f t="shared" si="32"/>
        <v>0</v>
      </c>
      <c r="AE52" s="424">
        <f t="shared" si="32"/>
        <v>0</v>
      </c>
      <c r="AF52" s="424">
        <f t="shared" si="32"/>
        <v>0</v>
      </c>
      <c r="AG52" s="424">
        <f t="shared" si="32"/>
        <v>0</v>
      </c>
      <c r="AH52" s="424">
        <f t="shared" si="32"/>
        <v>0</v>
      </c>
      <c r="AI52" s="424">
        <f t="shared" si="32"/>
        <v>0</v>
      </c>
      <c r="AJ52" s="424">
        <f t="shared" si="32"/>
        <v>0</v>
      </c>
      <c r="AK52" s="424">
        <f t="shared" si="32"/>
        <v>0</v>
      </c>
      <c r="AL52" s="424">
        <f t="shared" si="32"/>
        <v>0</v>
      </c>
      <c r="AM52" s="424">
        <f t="shared" si="32"/>
        <v>0</v>
      </c>
      <c r="AN52" s="424">
        <f t="shared" si="32"/>
        <v>0</v>
      </c>
    </row>
    <row r="53" spans="2:40" ht="12" customHeight="1" x14ac:dyDescent="0.2">
      <c r="B53" s="425" t="s">
        <v>105</v>
      </c>
      <c r="C53" s="413" t="s">
        <v>106</v>
      </c>
      <c r="D53">
        <v>136</v>
      </c>
      <c r="E53" s="426" t="s">
        <v>107</v>
      </c>
      <c r="F53" s="427"/>
      <c r="G53" s="415"/>
      <c r="I53" s="135">
        <f>(O53+T53+Y53+AD53+AI53+AN53)*J53</f>
        <v>91167061.439999983</v>
      </c>
      <c r="J53" s="378">
        <f>563316*1.19</f>
        <v>670346.03999999992</v>
      </c>
      <c r="K53" s="376"/>
      <c r="L53" s="376"/>
      <c r="M53" s="376"/>
      <c r="N53" s="376"/>
      <c r="O53" s="376">
        <f>SUM(K53:N53)</f>
        <v>0</v>
      </c>
      <c r="P53" s="376"/>
      <c r="Q53" s="376">
        <v>43</v>
      </c>
      <c r="R53" s="376"/>
      <c r="S53" s="376">
        <v>93</v>
      </c>
      <c r="T53" s="376">
        <f>SUM(P53:S53)</f>
        <v>136</v>
      </c>
      <c r="U53" s="376"/>
      <c r="V53" s="376"/>
      <c r="W53" s="376"/>
      <c r="X53" s="376"/>
      <c r="Y53" s="376">
        <f>SUM(U53:X53)</f>
        <v>0</v>
      </c>
      <c r="Z53" s="376"/>
      <c r="AA53" s="376"/>
      <c r="AB53" s="376"/>
      <c r="AC53" s="376"/>
      <c r="AD53" s="376">
        <f>SUM(Z53:AC53)</f>
        <v>0</v>
      </c>
      <c r="AE53" s="376"/>
      <c r="AF53" s="376"/>
      <c r="AG53" s="376"/>
      <c r="AH53" s="376"/>
      <c r="AI53" s="376">
        <f>SUM(AE53:AH53)</f>
        <v>0</v>
      </c>
      <c r="AJ53" s="376"/>
      <c r="AK53" s="376"/>
      <c r="AL53" s="376"/>
      <c r="AM53" s="376"/>
      <c r="AN53" s="376">
        <f>SUM(AJ53:AM53)</f>
        <v>0</v>
      </c>
    </row>
    <row r="54" spans="2:40" ht="12" customHeight="1" x14ac:dyDescent="0.2">
      <c r="B54" s="425" t="s">
        <v>108</v>
      </c>
      <c r="C54" s="413" t="s">
        <v>109</v>
      </c>
      <c r="E54" s="426"/>
      <c r="F54" s="427"/>
      <c r="G54" s="415"/>
      <c r="I54" s="135">
        <f>(O54+T54+Y54+AD54+AI54+AN54)*J54</f>
        <v>0</v>
      </c>
      <c r="J54" s="378"/>
      <c r="K54" s="376"/>
      <c r="L54" s="376"/>
      <c r="M54" s="376"/>
      <c r="N54" s="376"/>
      <c r="O54" s="376">
        <f>SUM(K54:N54)</f>
        <v>0</v>
      </c>
      <c r="P54" s="376"/>
      <c r="Q54" s="376"/>
      <c r="R54" s="376"/>
      <c r="S54" s="376"/>
      <c r="T54" s="376">
        <f>SUM(P54:S54)</f>
        <v>0</v>
      </c>
      <c r="U54" s="376"/>
      <c r="V54" s="376"/>
      <c r="W54" s="376"/>
      <c r="X54" s="376"/>
      <c r="Y54" s="376">
        <f>SUM(U54:X54)</f>
        <v>0</v>
      </c>
      <c r="Z54" s="376"/>
      <c r="AA54" s="376"/>
      <c r="AB54" s="376"/>
      <c r="AC54" s="376"/>
      <c r="AD54" s="376">
        <f>SUM(Z54:AC54)</f>
        <v>0</v>
      </c>
      <c r="AE54" s="376"/>
      <c r="AF54" s="376"/>
      <c r="AG54" s="376"/>
      <c r="AH54" s="376"/>
      <c r="AI54" s="376">
        <f>SUM(AE54:AH54)</f>
        <v>0</v>
      </c>
      <c r="AJ54" s="376"/>
      <c r="AK54" s="376"/>
      <c r="AL54" s="376"/>
      <c r="AM54" s="376"/>
      <c r="AN54" s="376">
        <f>SUM(AJ54:AM54)</f>
        <v>0</v>
      </c>
    </row>
    <row r="55" spans="2:40" ht="12" customHeight="1" x14ac:dyDescent="0.2">
      <c r="B55" s="425" t="s">
        <v>110</v>
      </c>
      <c r="C55" s="413" t="s">
        <v>111</v>
      </c>
      <c r="D55">
        <v>13</v>
      </c>
      <c r="E55" s="426" t="s">
        <v>107</v>
      </c>
      <c r="F55" s="427"/>
      <c r="G55" s="415"/>
      <c r="I55" s="135">
        <f>(O55+T55+Y55+AD55+AI55+AN55)*J55</f>
        <v>2740503.36</v>
      </c>
      <c r="J55" s="378">
        <f>164496*1.19</f>
        <v>195750.24</v>
      </c>
      <c r="K55" s="376"/>
      <c r="L55" s="376"/>
      <c r="M55" s="376"/>
      <c r="N55" s="376"/>
      <c r="O55" s="376">
        <f>SUM(K55:N55)</f>
        <v>0</v>
      </c>
      <c r="P55" s="376"/>
      <c r="Q55" s="376">
        <v>5</v>
      </c>
      <c r="R55" s="376"/>
      <c r="S55" s="376">
        <v>9</v>
      </c>
      <c r="T55" s="376">
        <f>SUM(P55:S55)</f>
        <v>14</v>
      </c>
      <c r="U55" s="376"/>
      <c r="V55" s="376"/>
      <c r="W55" s="376"/>
      <c r="X55" s="376"/>
      <c r="Y55" s="376">
        <f>SUM(U55:X55)</f>
        <v>0</v>
      </c>
      <c r="Z55" s="376"/>
      <c r="AA55" s="376"/>
      <c r="AB55" s="376"/>
      <c r="AC55" s="376"/>
      <c r="AD55" s="376">
        <f>SUM(Z55:AC55)</f>
        <v>0</v>
      </c>
      <c r="AE55" s="376"/>
      <c r="AF55" s="376"/>
      <c r="AG55" s="376"/>
      <c r="AH55" s="376"/>
      <c r="AI55" s="376">
        <f>SUM(AE55:AH55)</f>
        <v>0</v>
      </c>
      <c r="AJ55" s="376"/>
      <c r="AK55" s="376"/>
      <c r="AL55" s="376"/>
      <c r="AM55" s="376"/>
      <c r="AN55" s="376">
        <f>SUM(AJ55:AM55)</f>
        <v>0</v>
      </c>
    </row>
    <row r="56" spans="2:40" ht="12" customHeight="1" x14ac:dyDescent="0.2">
      <c r="B56" s="418" t="s">
        <v>112</v>
      </c>
      <c r="C56" s="419" t="s">
        <v>113</v>
      </c>
      <c r="E56" s="420"/>
      <c r="F56" s="421"/>
      <c r="G56" s="422"/>
      <c r="I56" s="423">
        <f t="shared" ref="I56:AN56" si="33">SUM(I57:I59)</f>
        <v>149536870.84</v>
      </c>
      <c r="J56" s="423">
        <f t="shared" si="33"/>
        <v>1179647</v>
      </c>
      <c r="K56" s="424">
        <f t="shared" si="33"/>
        <v>0</v>
      </c>
      <c r="L56" s="424">
        <f t="shared" si="33"/>
        <v>0</v>
      </c>
      <c r="M56" s="424">
        <f t="shared" si="33"/>
        <v>0</v>
      </c>
      <c r="N56" s="424">
        <f t="shared" si="33"/>
        <v>0</v>
      </c>
      <c r="O56" s="424">
        <f t="shared" si="33"/>
        <v>0</v>
      </c>
      <c r="P56" s="424">
        <f t="shared" si="33"/>
        <v>0</v>
      </c>
      <c r="Q56" s="424">
        <f t="shared" si="33"/>
        <v>0</v>
      </c>
      <c r="R56" s="424">
        <f t="shared" si="33"/>
        <v>0</v>
      </c>
      <c r="S56" s="424">
        <f t="shared" si="33"/>
        <v>0</v>
      </c>
      <c r="T56" s="424">
        <f t="shared" si="33"/>
        <v>0</v>
      </c>
      <c r="U56" s="424">
        <f t="shared" si="33"/>
        <v>0</v>
      </c>
      <c r="V56" s="424">
        <f t="shared" si="33"/>
        <v>0</v>
      </c>
      <c r="W56" s="424">
        <f t="shared" si="33"/>
        <v>0</v>
      </c>
      <c r="X56" s="424">
        <f t="shared" si="33"/>
        <v>0</v>
      </c>
      <c r="Y56" s="424">
        <f t="shared" si="33"/>
        <v>0</v>
      </c>
      <c r="Z56" s="424">
        <f t="shared" si="33"/>
        <v>0</v>
      </c>
      <c r="AA56" s="424">
        <f t="shared" si="33"/>
        <v>164</v>
      </c>
      <c r="AB56" s="424">
        <f t="shared" si="33"/>
        <v>0</v>
      </c>
      <c r="AC56" s="424">
        <f t="shared" si="33"/>
        <v>0</v>
      </c>
      <c r="AD56" s="424">
        <f t="shared" si="33"/>
        <v>164</v>
      </c>
      <c r="AE56" s="424">
        <f t="shared" si="33"/>
        <v>0</v>
      </c>
      <c r="AF56" s="424">
        <f t="shared" si="33"/>
        <v>0</v>
      </c>
      <c r="AG56" s="424">
        <f t="shared" si="33"/>
        <v>0</v>
      </c>
      <c r="AH56" s="424">
        <f t="shared" si="33"/>
        <v>0</v>
      </c>
      <c r="AI56" s="424">
        <f t="shared" si="33"/>
        <v>0</v>
      </c>
      <c r="AJ56" s="424">
        <f t="shared" si="33"/>
        <v>0</v>
      </c>
      <c r="AK56" s="424">
        <f t="shared" si="33"/>
        <v>0</v>
      </c>
      <c r="AL56" s="424">
        <f t="shared" si="33"/>
        <v>0</v>
      </c>
      <c r="AM56" s="424">
        <f t="shared" si="33"/>
        <v>0</v>
      </c>
      <c r="AN56" s="424">
        <f t="shared" si="33"/>
        <v>0</v>
      </c>
    </row>
    <row r="57" spans="2:40" ht="12" customHeight="1" x14ac:dyDescent="0.2">
      <c r="B57" s="425" t="s">
        <v>114</v>
      </c>
      <c r="C57" s="413" t="s">
        <v>115</v>
      </c>
      <c r="D57">
        <v>149</v>
      </c>
      <c r="E57" s="426" t="s">
        <v>107</v>
      </c>
      <c r="F57" s="427"/>
      <c r="G57" s="415"/>
      <c r="I57" s="135">
        <f>(O57+T57+Y57+AD57+AI57+AN57)*J57</f>
        <v>146600617.24000001</v>
      </c>
      <c r="J57" s="378">
        <f>826804*1.19</f>
        <v>983896.76</v>
      </c>
      <c r="K57" s="376"/>
      <c r="L57" s="376"/>
      <c r="M57" s="376"/>
      <c r="N57" s="376"/>
      <c r="O57" s="376">
        <f>SUM(K57:N57)</f>
        <v>0</v>
      </c>
      <c r="P57" s="376"/>
      <c r="Q57" s="376"/>
      <c r="R57" s="376"/>
      <c r="S57" s="376"/>
      <c r="T57" s="376">
        <f>SUM(P57:S57)</f>
        <v>0</v>
      </c>
      <c r="U57" s="376"/>
      <c r="V57" s="376"/>
      <c r="W57" s="376"/>
      <c r="X57" s="376"/>
      <c r="Y57" s="376">
        <f>SUM(U57:X57)</f>
        <v>0</v>
      </c>
      <c r="Z57" s="376"/>
      <c r="AA57" s="376">
        <v>149</v>
      </c>
      <c r="AB57" s="376"/>
      <c r="AC57" s="376"/>
      <c r="AD57" s="376">
        <f>SUM(Z57:AC57)</f>
        <v>149</v>
      </c>
      <c r="AE57" s="376"/>
      <c r="AF57" s="376"/>
      <c r="AG57" s="376"/>
      <c r="AH57" s="376"/>
      <c r="AI57" s="376">
        <f>SUM(AE57:AH57)</f>
        <v>0</v>
      </c>
      <c r="AJ57" s="376"/>
      <c r="AK57" s="376"/>
      <c r="AL57" s="376"/>
      <c r="AM57" s="376"/>
      <c r="AN57" s="376">
        <f>SUM(AJ57:AM57)</f>
        <v>0</v>
      </c>
    </row>
    <row r="58" spans="2:40" ht="12" customHeight="1" x14ac:dyDescent="0.2">
      <c r="B58" s="425" t="s">
        <v>116</v>
      </c>
      <c r="C58" s="413" t="s">
        <v>117</v>
      </c>
      <c r="E58" s="426"/>
      <c r="F58" s="427"/>
      <c r="G58" s="415"/>
      <c r="I58" s="135">
        <f>(O58+T58+Y58+AD58+AI58+AN58)*J58</f>
        <v>0</v>
      </c>
      <c r="J58" s="378"/>
      <c r="K58" s="376"/>
      <c r="L58" s="376"/>
      <c r="M58" s="376"/>
      <c r="N58" s="376"/>
      <c r="O58" s="376">
        <f>SUM(K58:N58)</f>
        <v>0</v>
      </c>
      <c r="P58" s="376"/>
      <c r="Q58" s="376"/>
      <c r="R58" s="376"/>
      <c r="S58" s="376"/>
      <c r="T58" s="376">
        <f>SUM(P58:S58)</f>
        <v>0</v>
      </c>
      <c r="U58" s="376"/>
      <c r="V58" s="376"/>
      <c r="W58" s="376"/>
      <c r="X58" s="376"/>
      <c r="Y58" s="376">
        <f>SUM(U58:X58)</f>
        <v>0</v>
      </c>
      <c r="Z58" s="376"/>
      <c r="AA58" s="376"/>
      <c r="AB58" s="376"/>
      <c r="AC58" s="376"/>
      <c r="AD58" s="376">
        <f>SUM(Z58:AC58)</f>
        <v>0</v>
      </c>
      <c r="AE58" s="376"/>
      <c r="AF58" s="376"/>
      <c r="AG58" s="376"/>
      <c r="AH58" s="376"/>
      <c r="AI58" s="376">
        <f>SUM(AE58:AH58)</f>
        <v>0</v>
      </c>
      <c r="AJ58" s="376"/>
      <c r="AK58" s="376"/>
      <c r="AL58" s="376"/>
      <c r="AM58" s="376"/>
      <c r="AN58" s="376">
        <f>SUM(AJ58:AM58)</f>
        <v>0</v>
      </c>
    </row>
    <row r="59" spans="2:40" ht="12" customHeight="1" x14ac:dyDescent="0.2">
      <c r="B59" s="425" t="s">
        <v>118</v>
      </c>
      <c r="C59" s="413" t="s">
        <v>119</v>
      </c>
      <c r="D59">
        <v>15</v>
      </c>
      <c r="E59" s="426" t="s">
        <v>107</v>
      </c>
      <c r="F59" s="427"/>
      <c r="G59" s="415"/>
      <c r="I59" s="135">
        <f>(O59+T59+Y59+AD59+AI59+AN59)*J59</f>
        <v>2936253.5999999996</v>
      </c>
      <c r="J59" s="378">
        <f>164496*1.19</f>
        <v>195750.24</v>
      </c>
      <c r="K59" s="376"/>
      <c r="L59" s="376"/>
      <c r="M59" s="376"/>
      <c r="N59" s="376"/>
      <c r="O59" s="376">
        <f>SUM(K59:N59)</f>
        <v>0</v>
      </c>
      <c r="P59" s="376"/>
      <c r="Q59" s="376"/>
      <c r="R59" s="376"/>
      <c r="S59" s="376"/>
      <c r="T59" s="376">
        <f>SUM(P59:S59)</f>
        <v>0</v>
      </c>
      <c r="U59" s="376"/>
      <c r="V59" s="376"/>
      <c r="W59" s="376"/>
      <c r="X59" s="376"/>
      <c r="Y59" s="376">
        <f>SUM(U59:X59)</f>
        <v>0</v>
      </c>
      <c r="Z59" s="376"/>
      <c r="AA59" s="376">
        <v>15</v>
      </c>
      <c r="AB59" s="376"/>
      <c r="AC59" s="376"/>
      <c r="AD59" s="376">
        <f>SUM(Z59:AC59)</f>
        <v>15</v>
      </c>
      <c r="AE59" s="376"/>
      <c r="AF59" s="376"/>
      <c r="AG59" s="376"/>
      <c r="AH59" s="376"/>
      <c r="AI59" s="376">
        <f>SUM(AE59:AH59)</f>
        <v>0</v>
      </c>
      <c r="AJ59" s="376"/>
      <c r="AK59" s="376"/>
      <c r="AL59" s="376"/>
      <c r="AM59" s="376"/>
      <c r="AN59" s="376">
        <f>SUM(AJ59:AM59)</f>
        <v>0</v>
      </c>
    </row>
    <row r="60" spans="2:40" ht="12" customHeight="1" x14ac:dyDescent="0.2">
      <c r="B60" s="384">
        <v>6</v>
      </c>
      <c r="C60" s="410" t="s">
        <v>120</v>
      </c>
      <c r="D60" s="411"/>
      <c r="E60" s="411"/>
      <c r="F60" s="385"/>
      <c r="G60" s="385" t="e">
        <f>SUM(G61)</f>
        <v>#REF!</v>
      </c>
      <c r="I60" s="386">
        <f t="shared" ref="I60:AN60" si="34">SUM(I61)</f>
        <v>2369025657.5593162</v>
      </c>
      <c r="J60" s="386">
        <f t="shared" si="34"/>
        <v>9025.4277480000001</v>
      </c>
      <c r="K60" s="416">
        <f t="shared" si="34"/>
        <v>0</v>
      </c>
      <c r="L60" s="416">
        <f t="shared" si="34"/>
        <v>0</v>
      </c>
      <c r="M60" s="416">
        <f t="shared" si="34"/>
        <v>0</v>
      </c>
      <c r="N60" s="416">
        <f t="shared" si="34"/>
        <v>0</v>
      </c>
      <c r="O60" s="416">
        <f t="shared" si="34"/>
        <v>0</v>
      </c>
      <c r="P60" s="416">
        <f t="shared" si="34"/>
        <v>0</v>
      </c>
      <c r="Q60" s="416">
        <f t="shared" si="34"/>
        <v>5072.3999999999996</v>
      </c>
      <c r="R60" s="416">
        <f t="shared" si="34"/>
        <v>9583</v>
      </c>
      <c r="S60" s="416">
        <f t="shared" si="34"/>
        <v>17682.2</v>
      </c>
      <c r="T60" s="416">
        <f t="shared" si="34"/>
        <v>32337.599999999999</v>
      </c>
      <c r="U60" s="416">
        <f t="shared" si="34"/>
        <v>0</v>
      </c>
      <c r="V60" s="416">
        <f t="shared" si="34"/>
        <v>11678</v>
      </c>
      <c r="W60" s="416">
        <f t="shared" si="34"/>
        <v>17785</v>
      </c>
      <c r="X60" s="416">
        <f t="shared" si="34"/>
        <v>6305</v>
      </c>
      <c r="Y60" s="416">
        <f t="shared" si="34"/>
        <v>35768</v>
      </c>
      <c r="Z60" s="416">
        <f t="shared" si="34"/>
        <v>10678</v>
      </c>
      <c r="AA60" s="416">
        <f t="shared" si="34"/>
        <v>5287</v>
      </c>
      <c r="AB60" s="416">
        <f t="shared" si="34"/>
        <v>14738</v>
      </c>
      <c r="AC60" s="416">
        <f t="shared" si="34"/>
        <v>25000</v>
      </c>
      <c r="AD60" s="416">
        <f t="shared" si="34"/>
        <v>55703</v>
      </c>
      <c r="AE60" s="416">
        <f t="shared" si="34"/>
        <v>80000</v>
      </c>
      <c r="AF60" s="416">
        <f t="shared" si="34"/>
        <v>80000</v>
      </c>
      <c r="AG60" s="416">
        <f t="shared" si="34"/>
        <v>80000</v>
      </c>
      <c r="AH60" s="416">
        <f t="shared" si="34"/>
        <v>80000</v>
      </c>
      <c r="AI60" s="416">
        <f t="shared" si="34"/>
        <v>320000</v>
      </c>
      <c r="AJ60" s="416">
        <f t="shared" si="34"/>
        <v>85000</v>
      </c>
      <c r="AK60" s="416">
        <f t="shared" si="34"/>
        <v>1200</v>
      </c>
      <c r="AL60" s="416">
        <f t="shared" si="34"/>
        <v>0</v>
      </c>
      <c r="AM60" s="416">
        <f t="shared" si="34"/>
        <v>0</v>
      </c>
      <c r="AN60" s="416">
        <f t="shared" si="34"/>
        <v>86200</v>
      </c>
    </row>
    <row r="61" spans="2:40" ht="12" customHeight="1" x14ac:dyDescent="0.2">
      <c r="B61" s="428" t="s">
        <v>121</v>
      </c>
      <c r="C61" s="405" t="s">
        <v>122</v>
      </c>
      <c r="D61" s="393"/>
      <c r="E61" s="393"/>
      <c r="F61" s="389"/>
      <c r="G61" s="389" t="e">
        <f>#REF!</f>
        <v>#REF!</v>
      </c>
      <c r="I61" s="429">
        <f t="shared" ref="I61:AN61" si="35">SUM(I62:I63)</f>
        <v>2369025657.5593162</v>
      </c>
      <c r="J61" s="429">
        <f t="shared" si="35"/>
        <v>9025.4277480000001</v>
      </c>
      <c r="K61" s="430">
        <f t="shared" si="35"/>
        <v>0</v>
      </c>
      <c r="L61" s="430">
        <f t="shared" si="35"/>
        <v>0</v>
      </c>
      <c r="M61" s="430">
        <f t="shared" si="35"/>
        <v>0</v>
      </c>
      <c r="N61" s="430">
        <f t="shared" si="35"/>
        <v>0</v>
      </c>
      <c r="O61" s="430">
        <f t="shared" si="35"/>
        <v>0</v>
      </c>
      <c r="P61" s="430">
        <f t="shared" si="35"/>
        <v>0</v>
      </c>
      <c r="Q61" s="430">
        <f t="shared" si="35"/>
        <v>5072.3999999999996</v>
      </c>
      <c r="R61" s="430">
        <f t="shared" si="35"/>
        <v>9583</v>
      </c>
      <c r="S61" s="430">
        <f t="shared" si="35"/>
        <v>17682.2</v>
      </c>
      <c r="T61" s="430">
        <f t="shared" si="35"/>
        <v>32337.599999999999</v>
      </c>
      <c r="U61" s="430">
        <f t="shared" si="35"/>
        <v>0</v>
      </c>
      <c r="V61" s="430">
        <f t="shared" si="35"/>
        <v>11678</v>
      </c>
      <c r="W61" s="430">
        <f t="shared" si="35"/>
        <v>17785</v>
      </c>
      <c r="X61" s="430">
        <f t="shared" si="35"/>
        <v>6305</v>
      </c>
      <c r="Y61" s="430">
        <f t="shared" si="35"/>
        <v>35768</v>
      </c>
      <c r="Z61" s="430">
        <f t="shared" si="35"/>
        <v>10678</v>
      </c>
      <c r="AA61" s="430">
        <f t="shared" si="35"/>
        <v>5287</v>
      </c>
      <c r="AB61" s="430">
        <f t="shared" si="35"/>
        <v>14738</v>
      </c>
      <c r="AC61" s="430">
        <f t="shared" si="35"/>
        <v>25000</v>
      </c>
      <c r="AD61" s="430">
        <f t="shared" si="35"/>
        <v>55703</v>
      </c>
      <c r="AE61" s="430">
        <f t="shared" si="35"/>
        <v>80000</v>
      </c>
      <c r="AF61" s="430">
        <f t="shared" si="35"/>
        <v>80000</v>
      </c>
      <c r="AG61" s="430">
        <f t="shared" si="35"/>
        <v>80000</v>
      </c>
      <c r="AH61" s="430">
        <f t="shared" si="35"/>
        <v>80000</v>
      </c>
      <c r="AI61" s="430">
        <f t="shared" si="35"/>
        <v>320000</v>
      </c>
      <c r="AJ61" s="430">
        <f t="shared" si="35"/>
        <v>85000</v>
      </c>
      <c r="AK61" s="430">
        <f t="shared" si="35"/>
        <v>1200</v>
      </c>
      <c r="AL61" s="430">
        <f t="shared" si="35"/>
        <v>0</v>
      </c>
      <c r="AM61" s="430">
        <f t="shared" si="35"/>
        <v>0</v>
      </c>
      <c r="AN61" s="430">
        <f t="shared" si="35"/>
        <v>86200</v>
      </c>
    </row>
    <row r="62" spans="2:40" ht="12" customHeight="1" x14ac:dyDescent="0.2">
      <c r="B62" s="431" t="s">
        <v>187</v>
      </c>
      <c r="C62" s="432" t="s">
        <v>188</v>
      </c>
      <c r="D62" s="433">
        <f>O62+T62+Y62+AD62+AI62+AN62</f>
        <v>330008.59999999998</v>
      </c>
      <c r="E62" s="434"/>
      <c r="F62" s="435"/>
      <c r="G62" s="435"/>
      <c r="I62" s="135">
        <f>(O62+T62+Y62+AD62+AI62+AN62)*J62</f>
        <v>1431482882.7593162</v>
      </c>
      <c r="J62" s="436">
        <v>4337.713874</v>
      </c>
      <c r="K62" s="437"/>
      <c r="L62" s="437"/>
      <c r="M62" s="437"/>
      <c r="N62" s="437"/>
      <c r="O62" s="438">
        <f>SUM(K62:N62)</f>
        <v>0</v>
      </c>
      <c r="P62" s="437">
        <v>0</v>
      </c>
      <c r="Q62" s="437">
        <v>5072.3999999999996</v>
      </c>
      <c r="R62" s="437">
        <v>9583</v>
      </c>
      <c r="S62" s="437">
        <v>17682.2</v>
      </c>
      <c r="T62" s="438">
        <f>SUM(P62:S62)</f>
        <v>32337.599999999999</v>
      </c>
      <c r="U62" s="437"/>
      <c r="V62" s="437">
        <v>11678</v>
      </c>
      <c r="W62" s="437">
        <v>17785</v>
      </c>
      <c r="X62" s="437">
        <v>6305</v>
      </c>
      <c r="Y62" s="438">
        <f>SUM(U62:X62)</f>
        <v>35768</v>
      </c>
      <c r="Z62" s="437">
        <v>10678</v>
      </c>
      <c r="AA62" s="437">
        <v>5287</v>
      </c>
      <c r="AB62" s="437">
        <v>14738</v>
      </c>
      <c r="AC62" s="437">
        <v>25000</v>
      </c>
      <c r="AD62" s="438">
        <f>SUM(Z62:AC62)</f>
        <v>55703</v>
      </c>
      <c r="AE62" s="437"/>
      <c r="AF62" s="437"/>
      <c r="AG62" s="437">
        <v>40000</v>
      </c>
      <c r="AH62" s="437">
        <v>80000</v>
      </c>
      <c r="AI62" s="438">
        <f>SUM(AE62:AH62)</f>
        <v>120000</v>
      </c>
      <c r="AJ62" s="437">
        <v>85000</v>
      </c>
      <c r="AK62" s="437">
        <v>1200</v>
      </c>
      <c r="AL62" s="437"/>
      <c r="AM62" s="437"/>
      <c r="AN62" s="438">
        <f>SUM(AJ62:AM62)</f>
        <v>86200</v>
      </c>
    </row>
    <row r="63" spans="2:40" ht="12" customHeight="1" x14ac:dyDescent="0.2">
      <c r="B63" s="431" t="s">
        <v>189</v>
      </c>
      <c r="C63" s="432" t="s">
        <v>190</v>
      </c>
      <c r="D63" s="434"/>
      <c r="E63" s="434"/>
      <c r="F63" s="435"/>
      <c r="G63" s="435"/>
      <c r="I63" s="135">
        <f>(O63+T63+Y63+AD63+AI63+AN63)*J63</f>
        <v>937542774.79999995</v>
      </c>
      <c r="J63" s="436">
        <f>J62+350</f>
        <v>4687.713874</v>
      </c>
      <c r="K63" s="437"/>
      <c r="L63" s="437"/>
      <c r="M63" s="437"/>
      <c r="N63" s="437"/>
      <c r="O63" s="438"/>
      <c r="P63" s="437"/>
      <c r="Q63" s="437"/>
      <c r="R63" s="437"/>
      <c r="S63" s="437"/>
      <c r="T63" s="438">
        <f>SUM(P63:S63)</f>
        <v>0</v>
      </c>
      <c r="U63" s="437"/>
      <c r="V63" s="437"/>
      <c r="W63" s="437"/>
      <c r="X63" s="437"/>
      <c r="Y63" s="438">
        <f>SUM(U63:X63)</f>
        <v>0</v>
      </c>
      <c r="Z63" s="437"/>
      <c r="AA63" s="437"/>
      <c r="AB63" s="437"/>
      <c r="AC63" s="437"/>
      <c r="AD63" s="438">
        <f>SUM(Z63:AC63)</f>
        <v>0</v>
      </c>
      <c r="AE63" s="437">
        <v>80000</v>
      </c>
      <c r="AF63" s="437">
        <v>80000</v>
      </c>
      <c r="AG63" s="437">
        <v>40000</v>
      </c>
      <c r="AH63" s="437"/>
      <c r="AI63" s="438">
        <f>SUM(AE63:AH63)</f>
        <v>200000</v>
      </c>
      <c r="AJ63" s="437"/>
      <c r="AK63" s="437"/>
      <c r="AL63" s="437"/>
      <c r="AM63" s="437"/>
      <c r="AN63" s="438"/>
    </row>
    <row r="64" spans="2:40" ht="12" customHeight="1" x14ac:dyDescent="0.2">
      <c r="B64" s="439"/>
      <c r="C64" s="440"/>
      <c r="D64" s="434"/>
      <c r="E64" s="434"/>
      <c r="F64" s="435"/>
      <c r="G64" s="435"/>
      <c r="I64" s="441"/>
      <c r="J64" s="441"/>
      <c r="K64" s="442"/>
      <c r="L64" s="442"/>
      <c r="M64" s="442"/>
      <c r="N64" s="442"/>
      <c r="O64" s="442"/>
      <c r="P64" s="442"/>
      <c r="Q64" s="442"/>
      <c r="R64" s="442"/>
      <c r="S64" s="442"/>
      <c r="T64" s="442"/>
      <c r="U64" s="442"/>
      <c r="V64" s="442"/>
      <c r="W64" s="442"/>
      <c r="X64" s="442"/>
      <c r="Y64" s="442"/>
      <c r="Z64" s="442"/>
      <c r="AA64" s="442"/>
      <c r="AB64" s="442"/>
      <c r="AC64" s="442"/>
      <c r="AD64" s="442"/>
      <c r="AF64" s="442"/>
      <c r="AG64" s="442"/>
      <c r="AH64" s="442"/>
      <c r="AI64" s="442"/>
    </row>
    <row r="66" spans="2:35" ht="12" customHeight="1" x14ac:dyDescent="0.2">
      <c r="C66" s="410" t="s">
        <v>128</v>
      </c>
      <c r="D66" s="410"/>
      <c r="E66" s="410"/>
      <c r="F66" s="410">
        <f>F53*D53</f>
        <v>0</v>
      </c>
      <c r="G66" s="410" t="e">
        <f>G60+G50+G47+G41+G14</f>
        <v>#REF!</v>
      </c>
      <c r="I66" s="137">
        <f>I60+I50+I47+I41+I14</f>
        <v>2797100359.679316</v>
      </c>
      <c r="J66" s="33"/>
      <c r="K66" s="137" t="e">
        <f>(K60*#REF!)+(K53*$J$53)+(K54*$J$54)+(K55*$J$55)+(K57*$J$57)+(K58*$J$58)+(K59*$J$59)+K47+K41+K14</f>
        <v>#REF!</v>
      </c>
      <c r="L66" s="137" t="e">
        <f>(L60*#REF!)+(L53*$J$53)+(L54*$J$54)+(L55*$J$55)+(L57*$J$57)+(L58*$J$58)+(L59*$J$59)+L47+L41+L14</f>
        <v>#REF!</v>
      </c>
      <c r="M66" s="137" t="e">
        <f>(M60*#REF!)+(M53*$J$53)+(M54*$J$54)+(M55*$J$55)+(M57*$J$57)+(M58*$J$58)+(M59*$J$59)+M47+M41+M14</f>
        <v>#REF!</v>
      </c>
      <c r="N66" s="137" t="e">
        <f>(N60*#REF!)+(N53*$J$53)+(N54*$J$54)+(N55*$J$55)+(N57*$J$57)+(N58*$J$58)+(N59*$J$59)+N47+N41+N14</f>
        <v>#REF!</v>
      </c>
      <c r="O66" s="137" t="e">
        <f>(O60*#REF!)+(O53*$J$53)+(O54*$J$54)+(O55*$J$55)+(O57*$J$57)+(O58*$J$58)+(O59*$J$59)+O47+O41+O14</f>
        <v>#REF!</v>
      </c>
      <c r="P66" s="137" t="e">
        <f>(P60*#REF!)+(P53*$J$53)+(P54*$J$54)+(P55*$J$55)+(P57*$J$57)+(P58*$J$58)+(P59*$J$59)+P47+P41+P14</f>
        <v>#REF!</v>
      </c>
      <c r="Q66" s="137" t="e">
        <f>(Q60*#REF!)+(Q53*$J$53)+(Q54*$J$54)+(Q55*$J$55)+(Q57*$J$57)+(Q58*$J$58)+(Q59*$J$59)+Q47+Q41+Q14</f>
        <v>#REF!</v>
      </c>
      <c r="R66" s="137" t="e">
        <f>(R60*#REF!)+(R53*$J$53)+(R54*$J$54)+(R55*$J$55)+(R57*$J$57)+(R58*$J$58)+(R59*$J$59)+R47+R41+R14</f>
        <v>#REF!</v>
      </c>
      <c r="S66" s="137" t="e">
        <f>(S60*#REF!)+(S53*$J$53)+(S54*$J$54)+(S55*$J$55)+(S57*$J$57)+(S58*$J$58)+(S59*$J$59)+S47+S41+S14</f>
        <v>#REF!</v>
      </c>
      <c r="T66" s="137" t="e">
        <f>(T60*#REF!)+(T53*$J$53)+(T54*$J$54)+(T55*$J$55)+(T57*$J$57)+(T58*$J$58)+(T59*$J$59)+T47+T41+T14</f>
        <v>#REF!</v>
      </c>
      <c r="U66" s="137" t="e">
        <f>(U60*#REF!)+(U53*$J$53)+(U54*$J$54)+(U55*$J$55)+(U57*$J$57)+(U58*$J$58)+(U59*$J$59)+U47+U41+U14</f>
        <v>#REF!</v>
      </c>
      <c r="V66" s="137" t="e">
        <f>(V60*#REF!)+(V53*$J$53)+(V54*$J$54)+(V55*$J$55)+(AA57*$J$57)+(AA58*$J$58)+(AA59*$J$59)+V47+V41+V14</f>
        <v>#REF!</v>
      </c>
      <c r="W66" s="137" t="e">
        <f>(W60*#REF!)+(W53*$J$53)+(W54*$J$54)+(W55*$J$55)+(W57*$J$57)+(W58*$J$58)+(W59*$J$59)+W47+W41+W14</f>
        <v>#REF!</v>
      </c>
      <c r="X66" s="137" t="e">
        <f>(X60*#REF!)+(X53*$J$53)+(X54*$J$54)+(X55*$J$55)+(X57*$J$57)+(X58*$J$58)+(X59*$J$59)+X47+X41+X14</f>
        <v>#REF!</v>
      </c>
      <c r="Y66" s="137" t="e">
        <f>(Y60*#REF!)+(Y53*$J$53)+(Y54*$J$54)+(Y55*$J$55)+(Y57*$J$57)+(Y58*$J$58)+(Y59*$J$59)+Y47+Y41+Y14</f>
        <v>#REF!</v>
      </c>
      <c r="Z66" s="137" t="e">
        <f>(Z60*#REF!)+(Z53*$J$53)+(Z54*$J$54)+(Z55*$J$55)+(Z57*$J$57)+(Z58*$J$58)+(Z59*$J$59)+Z47+Z41+Z14</f>
        <v>#REF!</v>
      </c>
      <c r="AA66" s="137" t="e">
        <f>(AA60*#REF!)+(AA53*$J$53)+(AA54*$J$54)+(AA55*$J$55)+(#REF!*$J$57)+(#REF!*$J$58)+(#REF!*$J$59)+AA47+AA41+AA14</f>
        <v>#REF!</v>
      </c>
      <c r="AB66" s="137" t="e">
        <f>(AB60*#REF!)+(AB53*$J$53)+(AB54*$J$54)+(AB55*$J$55)+(AB57*$J$57)+(AB58*$J$58)+(AB59*$J$59)+AB47+AB41+AB14</f>
        <v>#REF!</v>
      </c>
      <c r="AC66" s="137"/>
      <c r="AD66" s="137"/>
      <c r="AE66" s="137"/>
      <c r="AF66" s="137"/>
      <c r="AG66" s="137"/>
      <c r="AH66" s="137"/>
      <c r="AI66" s="137"/>
    </row>
    <row r="68" spans="2:35" ht="12" customHeight="1" x14ac:dyDescent="0.2">
      <c r="H68" s="449"/>
      <c r="I68" s="443"/>
      <c r="J68" s="443"/>
    </row>
    <row r="69" spans="2:35" ht="12" customHeight="1" x14ac:dyDescent="0.2">
      <c r="H69" s="450"/>
      <c r="I69" s="385"/>
      <c r="J69" s="385"/>
      <c r="K69" s="444"/>
      <c r="L69" s="444"/>
      <c r="M69" s="444"/>
      <c r="N69" s="444"/>
      <c r="O69" s="444"/>
      <c r="P69" s="444"/>
      <c r="Q69" s="444"/>
      <c r="R69" s="444"/>
      <c r="S69" s="444"/>
      <c r="T69" s="444"/>
      <c r="U69" s="444"/>
      <c r="V69" s="444"/>
      <c r="W69" s="444"/>
      <c r="X69" s="444"/>
      <c r="Y69" s="444"/>
      <c r="Z69" s="444"/>
      <c r="AA69" s="444"/>
      <c r="AB69" s="444"/>
      <c r="AC69" s="444"/>
      <c r="AD69" s="444"/>
      <c r="AE69" s="444"/>
      <c r="AF69" s="444"/>
      <c r="AG69" s="444"/>
      <c r="AH69" s="444"/>
      <c r="AI69" s="444"/>
    </row>
    <row r="70" spans="2:35" ht="12" customHeight="1" x14ac:dyDescent="0.2">
      <c r="H70" s="450"/>
      <c r="I70" s="389"/>
      <c r="J70" s="389"/>
      <c r="K70" s="445"/>
      <c r="L70" s="445"/>
      <c r="M70" s="445"/>
      <c r="N70" s="445"/>
      <c r="O70" s="445"/>
      <c r="P70" s="445"/>
      <c r="Q70" s="445"/>
      <c r="R70" s="445"/>
      <c r="S70" s="445"/>
      <c r="T70" s="445"/>
      <c r="U70" s="445"/>
      <c r="V70" s="445"/>
      <c r="W70" s="445"/>
      <c r="X70" s="445"/>
      <c r="Y70" s="445"/>
      <c r="Z70" s="445"/>
      <c r="AA70" s="445"/>
      <c r="AB70" s="445"/>
      <c r="AC70" s="445"/>
      <c r="AD70" s="445"/>
      <c r="AE70" s="445"/>
      <c r="AF70" s="445"/>
      <c r="AG70" s="445"/>
      <c r="AH70" s="445"/>
      <c r="AI70" s="445"/>
    </row>
    <row r="71" spans="2:35" ht="12" customHeight="1" x14ac:dyDescent="0.2">
      <c r="H71" s="450"/>
      <c r="I71" s="131"/>
      <c r="J71" s="131"/>
      <c r="K71" s="446"/>
      <c r="L71" s="447"/>
      <c r="M71" s="116"/>
      <c r="N71" s="447"/>
      <c r="O71" s="116"/>
      <c r="P71" s="447"/>
      <c r="Q71" s="116"/>
      <c r="R71" s="447"/>
      <c r="S71" s="447"/>
      <c r="T71" s="447"/>
      <c r="U71" s="447"/>
      <c r="V71" s="447"/>
      <c r="W71" s="447"/>
      <c r="X71" s="447"/>
      <c r="Y71" s="447"/>
      <c r="Z71" s="447"/>
      <c r="AA71" s="447"/>
      <c r="AB71" s="447"/>
      <c r="AC71" s="447"/>
      <c r="AD71" s="447"/>
      <c r="AE71" s="447"/>
      <c r="AF71" s="447"/>
      <c r="AG71" s="447"/>
      <c r="AH71" s="447"/>
      <c r="AI71" s="447"/>
    </row>
    <row r="72" spans="2:35" ht="12" customHeight="1" thickBot="1" x14ac:dyDescent="0.25"/>
    <row r="73" spans="2:35" ht="12" customHeight="1" x14ac:dyDescent="0.2">
      <c r="I73" s="448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</row>
    <row r="75" spans="2:35" ht="12" customHeight="1" thickBot="1" x14ac:dyDescent="0.25">
      <c r="B75" t="s">
        <v>129</v>
      </c>
    </row>
    <row r="76" spans="2:35" ht="12" customHeight="1" x14ac:dyDescent="0.2">
      <c r="B76" s="112" t="s">
        <v>130</v>
      </c>
      <c r="C76" s="132">
        <v>3824.47</v>
      </c>
      <c r="I76" s="448"/>
    </row>
    <row r="77" spans="2:35" ht="12" customHeight="1" x14ac:dyDescent="0.2">
      <c r="B77" s="112" t="s">
        <v>132</v>
      </c>
      <c r="C77" s="133">
        <f>C76*6.42%</f>
        <v>245.53097399999996</v>
      </c>
      <c r="G77" s="111">
        <f>SUM(C77:C79)/C76</f>
        <v>0.13420000000000001</v>
      </c>
      <c r="I77" s="148"/>
    </row>
    <row r="78" spans="2:35" ht="12" customHeight="1" x14ac:dyDescent="0.2">
      <c r="B78" s="112" t="s">
        <v>133</v>
      </c>
      <c r="C78" s="134">
        <f>C76*2%</f>
        <v>76.489400000000003</v>
      </c>
      <c r="I78" s="149"/>
    </row>
    <row r="79" spans="2:35" ht="12" customHeight="1" x14ac:dyDescent="0.2">
      <c r="B79" s="112" t="s">
        <v>134</v>
      </c>
      <c r="C79" s="134">
        <f>C76*5%</f>
        <v>191.2235</v>
      </c>
    </row>
    <row r="80" spans="2:35" ht="12" customHeight="1" x14ac:dyDescent="0.2">
      <c r="B80" s="112" t="s">
        <v>135</v>
      </c>
      <c r="C80" s="134">
        <f>C79*19%</f>
        <v>36.332464999999999</v>
      </c>
    </row>
    <row r="81" spans="2:5" ht="12" customHeight="1" x14ac:dyDescent="0.2">
      <c r="B81" s="112" t="s">
        <v>136</v>
      </c>
      <c r="C81" s="135">
        <f>SUM(C76:C80)</f>
        <v>4374.0463390000004</v>
      </c>
      <c r="D81">
        <v>530000</v>
      </c>
      <c r="E81" s="296">
        <f>C81*D81</f>
        <v>2318244559.6700001</v>
      </c>
    </row>
    <row r="83" spans="2:5" ht="12" customHeight="1" x14ac:dyDescent="0.2">
      <c r="B83" s="112" t="s">
        <v>130</v>
      </c>
      <c r="C83" s="132">
        <v>3970.41</v>
      </c>
    </row>
    <row r="84" spans="2:5" ht="12" customHeight="1" x14ac:dyDescent="0.2">
      <c r="B84" s="112" t="s">
        <v>132</v>
      </c>
      <c r="C84" s="133">
        <v>254.9</v>
      </c>
    </row>
    <row r="85" spans="2:5" ht="12" customHeight="1" x14ac:dyDescent="0.2">
      <c r="B85" s="112" t="s">
        <v>133</v>
      </c>
      <c r="C85" s="134">
        <v>79.41</v>
      </c>
    </row>
    <row r="86" spans="2:5" ht="12" customHeight="1" x14ac:dyDescent="0.2">
      <c r="B86" s="112" t="s">
        <v>134</v>
      </c>
      <c r="C86" s="134">
        <v>198.52</v>
      </c>
    </row>
    <row r="87" spans="2:5" ht="12" customHeight="1" x14ac:dyDescent="0.2">
      <c r="B87" s="112" t="s">
        <v>135</v>
      </c>
      <c r="C87" s="134">
        <f>C86*19%</f>
        <v>37.718800000000002</v>
      </c>
    </row>
    <row r="88" spans="2:5" ht="12" customHeight="1" x14ac:dyDescent="0.2">
      <c r="B88" s="112" t="s">
        <v>136</v>
      </c>
      <c r="C88" s="135">
        <f>SUM(C83:C87)</f>
        <v>4540.9587999999994</v>
      </c>
      <c r="D88">
        <v>530000</v>
      </c>
      <c r="E88" s="33">
        <f>C88*D88</f>
        <v>2406708163.9999995</v>
      </c>
    </row>
    <row r="104" spans="10:31" ht="12" customHeight="1" x14ac:dyDescent="0.2">
      <c r="K104" s="3"/>
      <c r="L104" s="3" t="s">
        <v>137</v>
      </c>
      <c r="M104" s="3"/>
      <c r="N104" s="3"/>
      <c r="O104" s="3"/>
      <c r="P104" s="3" t="s">
        <v>138</v>
      </c>
      <c r="Q104" s="3"/>
      <c r="R104" s="3" t="s">
        <v>138</v>
      </c>
      <c r="U104" s="3" t="s">
        <v>138</v>
      </c>
      <c r="W104" s="3" t="s">
        <v>138</v>
      </c>
      <c r="Z104" s="3" t="s">
        <v>138</v>
      </c>
      <c r="AB104" s="3" t="s">
        <v>139</v>
      </c>
    </row>
    <row r="105" spans="10:31" ht="12" customHeight="1" x14ac:dyDescent="0.2">
      <c r="J105" s="33">
        <v>530000</v>
      </c>
      <c r="L105">
        <v>151169.520010059</v>
      </c>
      <c r="P105">
        <v>50000</v>
      </c>
      <c r="S105">
        <v>50000</v>
      </c>
      <c r="U105">
        <v>88000</v>
      </c>
      <c r="W105">
        <v>88000</v>
      </c>
      <c r="Z105">
        <v>88000</v>
      </c>
      <c r="AB105">
        <v>14830.48</v>
      </c>
      <c r="AE105">
        <v>64869261</v>
      </c>
    </row>
    <row r="106" spans="10:31" ht="12" customHeight="1" x14ac:dyDescent="0.2">
      <c r="J106" t="e">
        <f>J105*#REF!</f>
        <v>#REF!</v>
      </c>
      <c r="K106" s="3"/>
      <c r="L106" s="33" t="e">
        <f>L105*#REF!</f>
        <v>#REF!</v>
      </c>
      <c r="P106" s="33" t="e">
        <f>P105*#REF!</f>
        <v>#REF!</v>
      </c>
      <c r="S106" s="33" t="e">
        <f>S105*#REF!</f>
        <v>#REF!</v>
      </c>
      <c r="U106" s="33" t="e">
        <f>U105*#REF!</f>
        <v>#REF!</v>
      </c>
      <c r="W106" s="33" t="e">
        <f>W105*#REF!</f>
        <v>#REF!</v>
      </c>
      <c r="Z106" s="33" t="e">
        <f>W106</f>
        <v>#REF!</v>
      </c>
      <c r="AB106" s="33" t="e">
        <f>AB105*#REF!</f>
        <v>#REF!</v>
      </c>
    </row>
    <row r="107" spans="10:31" ht="12" customHeight="1" x14ac:dyDescent="0.2">
      <c r="J107" s="33"/>
      <c r="L107" s="33"/>
    </row>
    <row r="108" spans="10:31" ht="12" customHeight="1" x14ac:dyDescent="0.2">
      <c r="J108" s="136"/>
    </row>
    <row r="109" spans="10:31" ht="12" customHeight="1" x14ac:dyDescent="0.2">
      <c r="J109" s="33"/>
      <c r="K109" s="34"/>
    </row>
  </sheetData>
  <mergeCells count="1">
    <mergeCell ref="H68:H71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43DBF-E30C-4DA0-8958-0EABACEE0701}">
  <sheetPr>
    <tabColor theme="8" tint="0.79998168889431442"/>
  </sheetPr>
  <dimension ref="B5:AJ102"/>
  <sheetViews>
    <sheetView topLeftCell="A4" zoomScale="92" zoomScaleNormal="92" workbookViewId="0">
      <pane xSplit="3" ySplit="4" topLeftCell="F32" activePane="bottomRight" state="frozen"/>
      <selection pane="topRight" activeCell="D4" sqref="D4"/>
      <selection pane="bottomLeft" activeCell="A8" sqref="A8"/>
      <selection pane="bottomRight" activeCell="I54" sqref="I54"/>
    </sheetView>
  </sheetViews>
  <sheetFormatPr baseColWidth="10" defaultColWidth="11.5" defaultRowHeight="12" customHeight="1" outlineLevelRow="1" x14ac:dyDescent="0.2"/>
  <cols>
    <col min="3" max="3" width="58.83203125" customWidth="1"/>
    <col min="4" max="8" width="24.5" customWidth="1"/>
    <col min="9" max="9" width="30.33203125" customWidth="1"/>
    <col min="10" max="10" width="31.83203125" customWidth="1"/>
    <col min="11" max="11" width="14.5" customWidth="1"/>
    <col min="12" max="12" width="16.5" customWidth="1"/>
    <col min="13" max="13" width="24.1640625" customWidth="1"/>
    <col min="14" max="14" width="19" customWidth="1"/>
    <col min="15" max="15" width="17.5" customWidth="1"/>
    <col min="16" max="16" width="21.1640625" customWidth="1"/>
    <col min="17" max="17" width="17.6640625" customWidth="1"/>
    <col min="19" max="19" width="16.5" bestFit="1" customWidth="1"/>
    <col min="20" max="20" width="20.83203125" customWidth="1"/>
    <col min="21" max="21" width="16.5" bestFit="1" customWidth="1"/>
    <col min="22" max="22" width="20" customWidth="1"/>
    <col min="23" max="23" width="16.5" bestFit="1" customWidth="1"/>
    <col min="24" max="24" width="18.5" customWidth="1"/>
    <col min="25" max="25" width="21.6640625" customWidth="1"/>
    <col min="26" max="26" width="16.5" bestFit="1" customWidth="1"/>
    <col min="27" max="27" width="21.6640625" customWidth="1"/>
    <col min="28" max="28" width="16.5" bestFit="1" customWidth="1"/>
    <col min="29" max="29" width="20.83203125" customWidth="1"/>
    <col min="30" max="30" width="25.33203125" customWidth="1"/>
    <col min="31" max="31" width="20.33203125" customWidth="1"/>
    <col min="33" max="33" width="19.1640625" customWidth="1"/>
    <col min="34" max="34" width="17.83203125" customWidth="1"/>
    <col min="35" max="35" width="17.5" customWidth="1"/>
  </cols>
  <sheetData>
    <row r="5" spans="2:35" ht="12" customHeight="1" x14ac:dyDescent="0.2">
      <c r="B5">
        <v>1</v>
      </c>
      <c r="C5">
        <v>2</v>
      </c>
      <c r="D5">
        <v>3</v>
      </c>
      <c r="E5">
        <v>4</v>
      </c>
      <c r="F5">
        <v>5</v>
      </c>
      <c r="G5">
        <v>6</v>
      </c>
      <c r="H5">
        <v>7</v>
      </c>
      <c r="I5">
        <v>8</v>
      </c>
      <c r="J5">
        <v>9</v>
      </c>
      <c r="K5">
        <v>10</v>
      </c>
      <c r="L5">
        <v>11</v>
      </c>
      <c r="M5">
        <v>12</v>
      </c>
      <c r="N5">
        <v>13</v>
      </c>
      <c r="O5">
        <v>14</v>
      </c>
      <c r="P5">
        <v>15</v>
      </c>
      <c r="Q5">
        <v>16</v>
      </c>
      <c r="R5">
        <v>17</v>
      </c>
      <c r="S5">
        <v>18</v>
      </c>
      <c r="T5">
        <v>19</v>
      </c>
      <c r="U5">
        <v>20</v>
      </c>
      <c r="V5">
        <v>21</v>
      </c>
      <c r="W5">
        <v>22</v>
      </c>
      <c r="X5">
        <v>23</v>
      </c>
      <c r="Y5">
        <v>24</v>
      </c>
      <c r="Z5">
        <v>25</v>
      </c>
      <c r="AA5">
        <v>26</v>
      </c>
      <c r="AB5">
        <v>27</v>
      </c>
      <c r="AC5">
        <v>28</v>
      </c>
      <c r="AD5">
        <v>29</v>
      </c>
      <c r="AE5">
        <v>30</v>
      </c>
      <c r="AF5">
        <v>31</v>
      </c>
      <c r="AG5">
        <v>32</v>
      </c>
      <c r="AH5">
        <v>33</v>
      </c>
      <c r="AI5">
        <v>34</v>
      </c>
    </row>
    <row r="6" spans="2:35" ht="12" customHeight="1" x14ac:dyDescent="0.2">
      <c r="B6" s="36" t="s">
        <v>0</v>
      </c>
      <c r="C6" s="36" t="s">
        <v>1</v>
      </c>
      <c r="D6" s="37" t="s">
        <v>2</v>
      </c>
      <c r="E6" s="37" t="s">
        <v>3</v>
      </c>
      <c r="F6" s="120" t="s">
        <v>4</v>
      </c>
      <c r="G6" s="120" t="s">
        <v>5</v>
      </c>
      <c r="I6" s="121" t="s">
        <v>6</v>
      </c>
      <c r="J6" s="121" t="s">
        <v>4</v>
      </c>
      <c r="K6" s="113" t="s">
        <v>7</v>
      </c>
      <c r="L6" s="113" t="s">
        <v>8</v>
      </c>
      <c r="M6" s="113" t="s">
        <v>9</v>
      </c>
      <c r="N6" s="113" t="s">
        <v>10</v>
      </c>
      <c r="O6" s="114" t="s">
        <v>11</v>
      </c>
      <c r="P6" s="113" t="s">
        <v>12</v>
      </c>
      <c r="Q6" s="113" t="s">
        <v>13</v>
      </c>
      <c r="R6" s="113" t="s">
        <v>14</v>
      </c>
      <c r="S6" s="113" t="s">
        <v>15</v>
      </c>
      <c r="T6" s="114" t="s">
        <v>16</v>
      </c>
      <c r="U6" s="113" t="s">
        <v>17</v>
      </c>
      <c r="V6" s="113" t="s">
        <v>18</v>
      </c>
      <c r="W6" s="113" t="s">
        <v>19</v>
      </c>
      <c r="X6" s="113" t="s">
        <v>20</v>
      </c>
      <c r="Y6" s="114" t="s">
        <v>21</v>
      </c>
      <c r="Z6" s="113" t="s">
        <v>22</v>
      </c>
      <c r="AA6" s="113" t="s">
        <v>23</v>
      </c>
      <c r="AB6" s="113" t="s">
        <v>24</v>
      </c>
      <c r="AC6" s="113" t="s">
        <v>25</v>
      </c>
      <c r="AD6" s="114" t="s">
        <v>26</v>
      </c>
      <c r="AE6" s="113" t="s">
        <v>27</v>
      </c>
      <c r="AF6" s="113" t="s">
        <v>28</v>
      </c>
      <c r="AG6" s="113" t="s">
        <v>29</v>
      </c>
      <c r="AH6" s="113" t="s">
        <v>30</v>
      </c>
      <c r="AI6" s="114" t="s">
        <v>31</v>
      </c>
    </row>
    <row r="7" spans="2:35" ht="12" customHeight="1" x14ac:dyDescent="0.2">
      <c r="B7" s="41">
        <v>1</v>
      </c>
      <c r="C7" s="122" t="s">
        <v>32</v>
      </c>
      <c r="D7" s="122"/>
      <c r="E7" s="122"/>
      <c r="F7" s="122"/>
      <c r="G7" s="122">
        <f>SUM(G8,G15,G19,G21,G31)</f>
        <v>150533984.5625</v>
      </c>
      <c r="I7" s="180">
        <f t="shared" ref="I7:AI7" si="0">SUM(I8,I15,I19,I21,I31)</f>
        <v>151058089.98000002</v>
      </c>
      <c r="J7" s="180">
        <f t="shared" si="0"/>
        <v>120426289</v>
      </c>
      <c r="K7" s="180">
        <f t="shared" si="0"/>
        <v>0</v>
      </c>
      <c r="L7" s="180">
        <f t="shared" si="0"/>
        <v>0</v>
      </c>
      <c r="M7" s="180">
        <f t="shared" si="0"/>
        <v>64463869</v>
      </c>
      <c r="N7" s="180">
        <f t="shared" si="0"/>
        <v>3097443</v>
      </c>
      <c r="O7" s="180">
        <f t="shared" si="0"/>
        <v>67561312</v>
      </c>
      <c r="P7" s="180">
        <f t="shared" si="0"/>
        <v>0</v>
      </c>
      <c r="Q7" s="180">
        <f t="shared" si="0"/>
        <v>0</v>
      </c>
      <c r="R7" s="180">
        <f t="shared" si="0"/>
        <v>0</v>
      </c>
      <c r="S7" s="180">
        <f t="shared" si="0"/>
        <v>6915382</v>
      </c>
      <c r="T7" s="180">
        <f t="shared" si="0"/>
        <v>6915382</v>
      </c>
      <c r="U7" s="180">
        <f t="shared" si="0"/>
        <v>0</v>
      </c>
      <c r="V7" s="180">
        <f t="shared" si="0"/>
        <v>0</v>
      </c>
      <c r="W7" s="180">
        <f t="shared" si="0"/>
        <v>0</v>
      </c>
      <c r="X7" s="180">
        <f t="shared" si="0"/>
        <v>6915382</v>
      </c>
      <c r="Y7" s="180">
        <f t="shared" si="0"/>
        <v>6915382</v>
      </c>
      <c r="Z7" s="180">
        <f t="shared" si="0"/>
        <v>0</v>
      </c>
      <c r="AA7" s="180">
        <f t="shared" si="0"/>
        <v>0</v>
      </c>
      <c r="AB7" s="180">
        <f t="shared" si="0"/>
        <v>0</v>
      </c>
      <c r="AC7" s="180">
        <f t="shared" si="0"/>
        <v>55216246.980000004</v>
      </c>
      <c r="AD7" s="180">
        <f t="shared" si="0"/>
        <v>55216246.980000004</v>
      </c>
      <c r="AE7" s="180">
        <f t="shared" si="0"/>
        <v>0</v>
      </c>
      <c r="AF7" s="180">
        <f t="shared" si="0"/>
        <v>0</v>
      </c>
      <c r="AG7" s="180">
        <f t="shared" si="0"/>
        <v>0</v>
      </c>
      <c r="AH7" s="180">
        <f t="shared" si="0"/>
        <v>14449767</v>
      </c>
      <c r="AI7" s="180">
        <f t="shared" si="0"/>
        <v>14449767</v>
      </c>
    </row>
    <row r="8" spans="2:35" ht="12" customHeight="1" x14ac:dyDescent="0.2">
      <c r="B8" s="51" t="s">
        <v>33</v>
      </c>
      <c r="C8" s="52" t="s">
        <v>34</v>
      </c>
      <c r="D8" s="123">
        <f t="shared" ref="D8:F8" si="1">SUM(D9:D14)</f>
        <v>6</v>
      </c>
      <c r="E8" s="123">
        <f t="shared" si="1"/>
        <v>0</v>
      </c>
      <c r="F8" s="123">
        <f t="shared" si="1"/>
        <v>18295782.187500004</v>
      </c>
      <c r="G8" s="123">
        <f>SUM(G9:G14)</f>
        <v>18295782.187500004</v>
      </c>
      <c r="I8" s="184">
        <f>SUM(I9:I14)</f>
        <v>13451751</v>
      </c>
      <c r="J8" s="184">
        <f t="shared" ref="J8:AI8" si="2">SUM(J9:J14)</f>
        <v>5917366</v>
      </c>
      <c r="K8" s="184">
        <f t="shared" si="2"/>
        <v>0</v>
      </c>
      <c r="L8" s="184">
        <f t="shared" si="2"/>
        <v>0</v>
      </c>
      <c r="M8" s="184">
        <f t="shared" si="2"/>
        <v>5917366</v>
      </c>
      <c r="N8" s="184">
        <f t="shared" si="2"/>
        <v>0</v>
      </c>
      <c r="O8" s="184">
        <f t="shared" si="2"/>
        <v>5917366</v>
      </c>
      <c r="P8" s="184">
        <f t="shared" si="2"/>
        <v>0</v>
      </c>
      <c r="Q8" s="184">
        <f t="shared" si="2"/>
        <v>0</v>
      </c>
      <c r="R8" s="184">
        <f t="shared" si="2"/>
        <v>0</v>
      </c>
      <c r="S8" s="184">
        <f t="shared" si="2"/>
        <v>0</v>
      </c>
      <c r="T8" s="184">
        <f t="shared" si="2"/>
        <v>0</v>
      </c>
      <c r="U8" s="184">
        <f t="shared" si="2"/>
        <v>0</v>
      </c>
      <c r="V8" s="184">
        <f t="shared" si="2"/>
        <v>0</v>
      </c>
      <c r="W8" s="184">
        <f t="shared" si="2"/>
        <v>0</v>
      </c>
      <c r="X8" s="184">
        <f t="shared" si="2"/>
        <v>0</v>
      </c>
      <c r="Y8" s="184">
        <f t="shared" si="2"/>
        <v>0</v>
      </c>
      <c r="Z8" s="184">
        <f t="shared" si="2"/>
        <v>0</v>
      </c>
      <c r="AA8" s="184">
        <f t="shared" si="2"/>
        <v>0</v>
      </c>
      <c r="AB8" s="184">
        <f t="shared" si="2"/>
        <v>0</v>
      </c>
      <c r="AC8" s="184">
        <f t="shared" si="2"/>
        <v>0</v>
      </c>
      <c r="AD8" s="184">
        <f t="shared" si="2"/>
        <v>0</v>
      </c>
      <c r="AE8" s="184">
        <f t="shared" si="2"/>
        <v>0</v>
      </c>
      <c r="AF8" s="184">
        <f t="shared" si="2"/>
        <v>0</v>
      </c>
      <c r="AG8" s="184">
        <f t="shared" si="2"/>
        <v>0</v>
      </c>
      <c r="AH8" s="184">
        <f t="shared" si="2"/>
        <v>7534385</v>
      </c>
      <c r="AI8" s="184">
        <f t="shared" si="2"/>
        <v>7534385</v>
      </c>
    </row>
    <row r="9" spans="2:35" ht="12" customHeight="1" outlineLevel="1" x14ac:dyDescent="0.2">
      <c r="B9" s="47" t="s">
        <v>35</v>
      </c>
      <c r="C9" s="48" t="s">
        <v>36</v>
      </c>
      <c r="D9" s="49">
        <v>1</v>
      </c>
      <c r="E9" s="49" t="s">
        <v>37</v>
      </c>
      <c r="F9" s="124">
        <v>3512790.18</v>
      </c>
      <c r="G9" s="124">
        <f>+D9*F9</f>
        <v>3512790.18</v>
      </c>
      <c r="I9" s="187">
        <f>O9+T9+Y9+AD9+AI9</f>
        <v>1844836.12</v>
      </c>
      <c r="J9" s="187">
        <v>516713.12</v>
      </c>
      <c r="K9" s="187"/>
      <c r="L9" s="187"/>
      <c r="M9" s="187">
        <v>516713.12</v>
      </c>
      <c r="N9" s="187"/>
      <c r="O9" s="187">
        <f>SUM(K9:N9)</f>
        <v>516713.12</v>
      </c>
      <c r="P9" s="187"/>
      <c r="Q9" s="187"/>
      <c r="R9" s="187"/>
      <c r="S9" s="187"/>
      <c r="T9" s="187">
        <f>SUM(P9:S9)</f>
        <v>0</v>
      </c>
      <c r="U9" s="187"/>
      <c r="V9" s="187"/>
      <c r="W9" s="187"/>
      <c r="X9" s="187"/>
      <c r="Y9" s="187">
        <f>SUM(U9:X9)</f>
        <v>0</v>
      </c>
      <c r="Z9" s="187"/>
      <c r="AA9" s="187"/>
      <c r="AB9" s="187"/>
      <c r="AC9" s="187"/>
      <c r="AD9" s="187">
        <f>SUM(Z9:AC9)</f>
        <v>0</v>
      </c>
      <c r="AE9" s="187"/>
      <c r="AF9" s="187"/>
      <c r="AG9" s="187"/>
      <c r="AH9" s="187">
        <v>1328123</v>
      </c>
      <c r="AI9" s="187">
        <f>SUM(AE9:AH9)</f>
        <v>1328123</v>
      </c>
    </row>
    <row r="10" spans="2:35" ht="12" customHeight="1" outlineLevel="1" x14ac:dyDescent="0.2">
      <c r="B10" s="47" t="s">
        <v>38</v>
      </c>
      <c r="C10" s="48" t="s">
        <v>39</v>
      </c>
      <c r="D10" s="49">
        <v>1</v>
      </c>
      <c r="E10" s="49" t="s">
        <v>37</v>
      </c>
      <c r="F10" s="124">
        <v>3073691.4075000002</v>
      </c>
      <c r="G10" s="124">
        <f t="shared" ref="G10:G14" si="3">+D10*F10</f>
        <v>3073691.4075000002</v>
      </c>
      <c r="I10" s="187">
        <f t="shared" ref="I10:I32" si="4">O10+T10+Y10+AD10+AI10</f>
        <v>910373.42999999993</v>
      </c>
      <c r="J10" s="187">
        <v>465741.43</v>
      </c>
      <c r="K10" s="187"/>
      <c r="L10" s="187"/>
      <c r="M10" s="187">
        <v>465741.43</v>
      </c>
      <c r="N10" s="187"/>
      <c r="O10" s="187">
        <f t="shared" ref="O10:O14" si="5">SUM(K10:N10)</f>
        <v>465741.43</v>
      </c>
      <c r="P10" s="187"/>
      <c r="Q10" s="187"/>
      <c r="R10" s="187"/>
      <c r="S10" s="187"/>
      <c r="T10" s="187">
        <f t="shared" ref="T10:T14" si="6">SUM(P10:S10)</f>
        <v>0</v>
      </c>
      <c r="U10" s="187"/>
      <c r="V10" s="187"/>
      <c r="W10" s="187"/>
      <c r="X10" s="187"/>
      <c r="Y10" s="187">
        <f t="shared" ref="Y10:Y14" si="7">SUM(U10:X10)</f>
        <v>0</v>
      </c>
      <c r="Z10" s="187"/>
      <c r="AA10" s="187"/>
      <c r="AB10" s="187"/>
      <c r="AC10" s="187"/>
      <c r="AD10" s="187">
        <f t="shared" ref="AD10:AD14" si="8">SUM(Z10:AC10)</f>
        <v>0</v>
      </c>
      <c r="AE10" s="187"/>
      <c r="AF10" s="187"/>
      <c r="AG10" s="187"/>
      <c r="AH10" s="187">
        <v>444632</v>
      </c>
      <c r="AI10" s="187">
        <f t="shared" ref="AI10:AI14" si="9">SUM(AE10:AH10)</f>
        <v>444632</v>
      </c>
    </row>
    <row r="11" spans="2:35" ht="12" customHeight="1" outlineLevel="1" x14ac:dyDescent="0.2">
      <c r="B11" s="47" t="s">
        <v>40</v>
      </c>
      <c r="C11" s="48" t="s">
        <v>41</v>
      </c>
      <c r="D11" s="49">
        <v>1</v>
      </c>
      <c r="E11" s="49" t="s">
        <v>37</v>
      </c>
      <c r="F11" s="124">
        <v>2049127.6049999997</v>
      </c>
      <c r="G11" s="124">
        <f t="shared" si="3"/>
        <v>2049127.6049999997</v>
      </c>
      <c r="I11" s="187">
        <f t="shared" si="4"/>
        <v>612043.07000000007</v>
      </c>
      <c r="J11" s="187">
        <v>349306.07</v>
      </c>
      <c r="K11" s="187"/>
      <c r="L11" s="187"/>
      <c r="M11" s="187">
        <v>349306.07</v>
      </c>
      <c r="N11" s="187"/>
      <c r="O11" s="187">
        <f t="shared" si="5"/>
        <v>349306.07</v>
      </c>
      <c r="P11" s="187"/>
      <c r="Q11" s="187"/>
      <c r="R11" s="187"/>
      <c r="S11" s="187"/>
      <c r="T11" s="187">
        <f t="shared" si="6"/>
        <v>0</v>
      </c>
      <c r="U11" s="187"/>
      <c r="V11" s="187"/>
      <c r="W11" s="187"/>
      <c r="X11" s="187"/>
      <c r="Y11" s="187">
        <f t="shared" si="7"/>
        <v>0</v>
      </c>
      <c r="Z11" s="187"/>
      <c r="AA11" s="187"/>
      <c r="AB11" s="187"/>
      <c r="AC11" s="187"/>
      <c r="AD11" s="187">
        <f t="shared" si="8"/>
        <v>0</v>
      </c>
      <c r="AE11" s="187"/>
      <c r="AF11" s="187"/>
      <c r="AG11" s="187"/>
      <c r="AH11" s="187">
        <v>262737</v>
      </c>
      <c r="AI11" s="187">
        <f t="shared" si="9"/>
        <v>262737</v>
      </c>
    </row>
    <row r="12" spans="2:35" ht="12" customHeight="1" outlineLevel="1" x14ac:dyDescent="0.2">
      <c r="B12" s="47" t="s">
        <v>42</v>
      </c>
      <c r="C12" s="48" t="s">
        <v>43</v>
      </c>
      <c r="D12" s="49">
        <v>1</v>
      </c>
      <c r="E12" s="49" t="s">
        <v>37</v>
      </c>
      <c r="F12" s="124">
        <v>3073691.4075000002</v>
      </c>
      <c r="G12" s="124">
        <f t="shared" si="3"/>
        <v>3073691.4075000002</v>
      </c>
      <c r="I12" s="187">
        <f t="shared" si="4"/>
        <v>7879684.8599999994</v>
      </c>
      <c r="J12" s="187">
        <v>4184037.86</v>
      </c>
      <c r="K12" s="187"/>
      <c r="L12" s="187"/>
      <c r="M12" s="187">
        <v>4184037.86</v>
      </c>
      <c r="N12" s="187"/>
      <c r="O12" s="187">
        <f t="shared" si="5"/>
        <v>4184037.86</v>
      </c>
      <c r="P12" s="187"/>
      <c r="Q12" s="187"/>
      <c r="R12" s="187"/>
      <c r="S12" s="187"/>
      <c r="T12" s="187">
        <f t="shared" si="6"/>
        <v>0</v>
      </c>
      <c r="U12" s="187"/>
      <c r="V12" s="187"/>
      <c r="W12" s="187"/>
      <c r="X12" s="187"/>
      <c r="Y12" s="187">
        <f t="shared" si="7"/>
        <v>0</v>
      </c>
      <c r="Z12" s="187"/>
      <c r="AA12" s="187"/>
      <c r="AB12" s="187"/>
      <c r="AC12" s="187"/>
      <c r="AD12" s="187">
        <f t="shared" si="8"/>
        <v>0</v>
      </c>
      <c r="AE12" s="187"/>
      <c r="AF12" s="187"/>
      <c r="AG12" s="187"/>
      <c r="AH12" s="187">
        <v>3695647</v>
      </c>
      <c r="AI12" s="187">
        <f t="shared" si="9"/>
        <v>3695647</v>
      </c>
    </row>
    <row r="13" spans="2:35" ht="12" customHeight="1" outlineLevel="1" x14ac:dyDescent="0.2">
      <c r="B13" s="47" t="s">
        <v>44</v>
      </c>
      <c r="C13" s="48" t="s">
        <v>45</v>
      </c>
      <c r="D13" s="49">
        <v>1</v>
      </c>
      <c r="E13" s="49" t="s">
        <v>37</v>
      </c>
      <c r="F13" s="124">
        <v>3073691.4075000002</v>
      </c>
      <c r="G13" s="124">
        <f t="shared" si="3"/>
        <v>3073691.4075000002</v>
      </c>
      <c r="I13" s="187">
        <f t="shared" si="4"/>
        <v>1222251</v>
      </c>
      <c r="J13" s="187">
        <v>9282</v>
      </c>
      <c r="K13" s="187"/>
      <c r="L13" s="187"/>
      <c r="M13" s="187">
        <v>9282</v>
      </c>
      <c r="N13" s="187"/>
      <c r="O13" s="187">
        <f t="shared" si="5"/>
        <v>9282</v>
      </c>
      <c r="P13" s="187"/>
      <c r="Q13" s="187"/>
      <c r="R13" s="187"/>
      <c r="S13" s="187"/>
      <c r="T13" s="187">
        <f t="shared" si="6"/>
        <v>0</v>
      </c>
      <c r="U13" s="187"/>
      <c r="V13" s="187"/>
      <c r="W13" s="187"/>
      <c r="X13" s="187"/>
      <c r="Y13" s="187">
        <f t="shared" si="7"/>
        <v>0</v>
      </c>
      <c r="Z13" s="187"/>
      <c r="AA13" s="187"/>
      <c r="AB13" s="187"/>
      <c r="AC13" s="187"/>
      <c r="AD13" s="187">
        <f t="shared" si="8"/>
        <v>0</v>
      </c>
      <c r="AE13" s="187"/>
      <c r="AF13" s="187"/>
      <c r="AG13" s="187"/>
      <c r="AH13" s="187">
        <v>1212969</v>
      </c>
      <c r="AI13" s="187">
        <f t="shared" si="9"/>
        <v>1212969</v>
      </c>
    </row>
    <row r="14" spans="2:35" ht="12" customHeight="1" outlineLevel="1" x14ac:dyDescent="0.2">
      <c r="B14" s="47" t="s">
        <v>46</v>
      </c>
      <c r="C14" s="48" t="s">
        <v>47</v>
      </c>
      <c r="D14" s="49">
        <v>1</v>
      </c>
      <c r="E14" s="49" t="s">
        <v>37</v>
      </c>
      <c r="F14" s="124">
        <v>3512790.18</v>
      </c>
      <c r="G14" s="124">
        <f t="shared" si="3"/>
        <v>3512790.18</v>
      </c>
      <c r="I14" s="187">
        <f t="shared" si="4"/>
        <v>982562.52</v>
      </c>
      <c r="J14" s="187">
        <f>197018.52+195267</f>
        <v>392285.52</v>
      </c>
      <c r="K14" s="187"/>
      <c r="L14" s="187"/>
      <c r="M14" s="187">
        <f>197018.52+195267</f>
        <v>392285.52</v>
      </c>
      <c r="N14" s="187"/>
      <c r="O14" s="187">
        <f t="shared" si="5"/>
        <v>392285.52</v>
      </c>
      <c r="P14" s="187"/>
      <c r="Q14" s="187"/>
      <c r="R14" s="187"/>
      <c r="S14" s="187"/>
      <c r="T14" s="187">
        <f t="shared" si="6"/>
        <v>0</v>
      </c>
      <c r="U14" s="187"/>
      <c r="V14" s="187"/>
      <c r="W14" s="187"/>
      <c r="X14" s="187"/>
      <c r="Y14" s="187">
        <f t="shared" si="7"/>
        <v>0</v>
      </c>
      <c r="Z14" s="187"/>
      <c r="AA14" s="187"/>
      <c r="AB14" s="187"/>
      <c r="AC14" s="187"/>
      <c r="AD14" s="187">
        <f t="shared" si="8"/>
        <v>0</v>
      </c>
      <c r="AE14" s="187"/>
      <c r="AF14" s="187"/>
      <c r="AG14" s="187"/>
      <c r="AH14" s="187">
        <v>590277</v>
      </c>
      <c r="AI14" s="187">
        <f t="shared" si="9"/>
        <v>590277</v>
      </c>
    </row>
    <row r="15" spans="2:35" ht="12" customHeight="1" x14ac:dyDescent="0.2">
      <c r="B15" s="51" t="s">
        <v>48</v>
      </c>
      <c r="C15" s="52" t="s">
        <v>49</v>
      </c>
      <c r="D15" s="46"/>
      <c r="E15" s="46"/>
      <c r="F15" s="123"/>
      <c r="G15" s="123">
        <f>SUM(G16:G18)</f>
        <v>48300864.975000001</v>
      </c>
      <c r="I15" s="184">
        <f t="shared" ref="I15:AI15" si="10">SUM(I16:I18)</f>
        <v>48300864.980000004</v>
      </c>
      <c r="J15" s="184">
        <f t="shared" si="10"/>
        <v>48300863</v>
      </c>
      <c r="K15" s="184">
        <f t="shared" si="10"/>
        <v>0</v>
      </c>
      <c r="L15" s="184">
        <f t="shared" si="10"/>
        <v>0</v>
      </c>
      <c r="M15" s="184">
        <f t="shared" si="10"/>
        <v>0</v>
      </c>
      <c r="N15" s="184">
        <f t="shared" si="10"/>
        <v>0</v>
      </c>
      <c r="O15" s="184">
        <f t="shared" si="10"/>
        <v>0</v>
      </c>
      <c r="P15" s="184">
        <f t="shared" si="10"/>
        <v>0</v>
      </c>
      <c r="Q15" s="184">
        <f t="shared" si="10"/>
        <v>0</v>
      </c>
      <c r="R15" s="184">
        <f t="shared" si="10"/>
        <v>0</v>
      </c>
      <c r="S15" s="184">
        <f t="shared" si="10"/>
        <v>0</v>
      </c>
      <c r="T15" s="184">
        <f t="shared" si="10"/>
        <v>0</v>
      </c>
      <c r="U15" s="184">
        <f t="shared" si="10"/>
        <v>0</v>
      </c>
      <c r="V15" s="184">
        <f t="shared" si="10"/>
        <v>0</v>
      </c>
      <c r="W15" s="184">
        <f t="shared" si="10"/>
        <v>0</v>
      </c>
      <c r="X15" s="184">
        <f t="shared" si="10"/>
        <v>0</v>
      </c>
      <c r="Y15" s="184">
        <f t="shared" si="10"/>
        <v>0</v>
      </c>
      <c r="Z15" s="184">
        <f t="shared" si="10"/>
        <v>0</v>
      </c>
      <c r="AA15" s="184">
        <f t="shared" si="10"/>
        <v>0</v>
      </c>
      <c r="AB15" s="184">
        <f t="shared" si="10"/>
        <v>0</v>
      </c>
      <c r="AC15" s="184">
        <f t="shared" si="10"/>
        <v>48300864.980000004</v>
      </c>
      <c r="AD15" s="184">
        <f t="shared" si="10"/>
        <v>48300864.980000004</v>
      </c>
      <c r="AE15" s="184">
        <f t="shared" si="10"/>
        <v>0</v>
      </c>
      <c r="AF15" s="184">
        <f t="shared" si="10"/>
        <v>0</v>
      </c>
      <c r="AG15" s="184">
        <f t="shared" si="10"/>
        <v>0</v>
      </c>
      <c r="AH15" s="184">
        <f t="shared" si="10"/>
        <v>0</v>
      </c>
      <c r="AI15" s="184">
        <f t="shared" si="10"/>
        <v>0</v>
      </c>
    </row>
    <row r="16" spans="2:35" ht="12" customHeight="1" outlineLevel="1" x14ac:dyDescent="0.2">
      <c r="B16" s="47" t="s">
        <v>50</v>
      </c>
      <c r="C16" s="48" t="s">
        <v>51</v>
      </c>
      <c r="D16" s="49">
        <v>1</v>
      </c>
      <c r="E16" s="49" t="s">
        <v>37</v>
      </c>
      <c r="F16" s="124">
        <v>7318312.875</v>
      </c>
      <c r="G16" s="124">
        <f t="shared" ref="G16:G18" si="11">+D16*F16</f>
        <v>7318312.875</v>
      </c>
      <c r="I16" s="187">
        <f t="shared" si="4"/>
        <v>7318312.8799999999</v>
      </c>
      <c r="J16" s="187">
        <v>7318312</v>
      </c>
      <c r="K16" s="187"/>
      <c r="L16" s="187"/>
      <c r="M16" s="187"/>
      <c r="N16" s="187"/>
      <c r="O16" s="187">
        <f t="shared" ref="O16:O18" si="12">SUM(K16:N16)</f>
        <v>0</v>
      </c>
      <c r="P16" s="187"/>
      <c r="Q16" s="187"/>
      <c r="R16" s="187"/>
      <c r="S16" s="187"/>
      <c r="T16" s="187">
        <f t="shared" ref="T16:T18" si="13">SUM(P16:S16)</f>
        <v>0</v>
      </c>
      <c r="U16" s="187"/>
      <c r="V16" s="187"/>
      <c r="W16" s="187"/>
      <c r="X16" s="187"/>
      <c r="Y16" s="187">
        <f t="shared" ref="Y16:Y18" si="14">SUM(U16:X16)</f>
        <v>0</v>
      </c>
      <c r="Z16" s="187"/>
      <c r="AA16" s="187"/>
      <c r="AB16" s="187"/>
      <c r="AC16" s="187">
        <v>7318312.8799999999</v>
      </c>
      <c r="AD16" s="187">
        <f t="shared" ref="AD16:AD18" si="15">SUM(Z16:AC16)</f>
        <v>7318312.8799999999</v>
      </c>
      <c r="AE16" s="187"/>
      <c r="AF16" s="187"/>
      <c r="AG16" s="187"/>
      <c r="AH16" s="187"/>
      <c r="AI16" s="187">
        <f t="shared" ref="AI16:AI18" si="16">SUM(AE16:AH16)</f>
        <v>0</v>
      </c>
    </row>
    <row r="17" spans="2:35" ht="12" customHeight="1" outlineLevel="1" x14ac:dyDescent="0.2">
      <c r="B17" s="47" t="s">
        <v>52</v>
      </c>
      <c r="C17" s="48" t="s">
        <v>53</v>
      </c>
      <c r="D17" s="49">
        <v>1</v>
      </c>
      <c r="E17" s="49" t="s">
        <v>37</v>
      </c>
      <c r="F17" s="124">
        <v>29273251.5</v>
      </c>
      <c r="G17" s="124">
        <f t="shared" si="11"/>
        <v>29273251.5</v>
      </c>
      <c r="I17" s="187">
        <f t="shared" si="4"/>
        <v>29273251.5</v>
      </c>
      <c r="J17" s="187">
        <v>29273251</v>
      </c>
      <c r="K17" s="187"/>
      <c r="L17" s="187"/>
      <c r="M17" s="187"/>
      <c r="N17" s="187"/>
      <c r="O17" s="187">
        <f t="shared" si="12"/>
        <v>0</v>
      </c>
      <c r="P17" s="187"/>
      <c r="Q17" s="187"/>
      <c r="R17" s="187"/>
      <c r="S17" s="187"/>
      <c r="T17" s="187">
        <f t="shared" si="13"/>
        <v>0</v>
      </c>
      <c r="U17" s="187"/>
      <c r="V17" s="187"/>
      <c r="W17" s="187"/>
      <c r="X17" s="187"/>
      <c r="Y17" s="187">
        <f t="shared" si="14"/>
        <v>0</v>
      </c>
      <c r="Z17" s="187"/>
      <c r="AA17" s="187"/>
      <c r="AB17" s="187"/>
      <c r="AC17" s="187">
        <v>29273251.5</v>
      </c>
      <c r="AD17" s="187">
        <f t="shared" si="15"/>
        <v>29273251.5</v>
      </c>
      <c r="AE17" s="187"/>
      <c r="AF17" s="187"/>
      <c r="AG17" s="187"/>
      <c r="AH17" s="187"/>
      <c r="AI17" s="187">
        <f t="shared" si="16"/>
        <v>0</v>
      </c>
    </row>
    <row r="18" spans="2:35" ht="12" customHeight="1" outlineLevel="1" x14ac:dyDescent="0.2">
      <c r="B18" s="47" t="s">
        <v>54</v>
      </c>
      <c r="C18" s="48" t="s">
        <v>55</v>
      </c>
      <c r="D18" s="49">
        <v>1</v>
      </c>
      <c r="E18" s="49" t="s">
        <v>37</v>
      </c>
      <c r="F18" s="124">
        <v>11709300.6</v>
      </c>
      <c r="G18" s="124">
        <f t="shared" si="11"/>
        <v>11709300.6</v>
      </c>
      <c r="I18" s="187">
        <f t="shared" si="4"/>
        <v>11709300.6</v>
      </c>
      <c r="J18" s="187">
        <v>11709300</v>
      </c>
      <c r="K18" s="187"/>
      <c r="L18" s="187"/>
      <c r="M18" s="187"/>
      <c r="N18" s="187"/>
      <c r="O18" s="187">
        <f t="shared" si="12"/>
        <v>0</v>
      </c>
      <c r="P18" s="187"/>
      <c r="Q18" s="187"/>
      <c r="R18" s="187"/>
      <c r="S18" s="187"/>
      <c r="T18" s="187">
        <f t="shared" si="13"/>
        <v>0</v>
      </c>
      <c r="U18" s="187"/>
      <c r="V18" s="187"/>
      <c r="W18" s="187"/>
      <c r="X18" s="187"/>
      <c r="Y18" s="187">
        <f t="shared" si="14"/>
        <v>0</v>
      </c>
      <c r="Z18" s="187"/>
      <c r="AA18" s="187"/>
      <c r="AB18" s="187"/>
      <c r="AC18" s="187">
        <v>11709300.6</v>
      </c>
      <c r="AD18" s="187">
        <f t="shared" si="15"/>
        <v>11709300.6</v>
      </c>
      <c r="AE18" s="187"/>
      <c r="AF18" s="187"/>
      <c r="AG18" s="187"/>
      <c r="AH18" s="187"/>
      <c r="AI18" s="187">
        <f t="shared" si="16"/>
        <v>0</v>
      </c>
    </row>
    <row r="19" spans="2:35" ht="12" customHeight="1" x14ac:dyDescent="0.2">
      <c r="B19" s="51" t="s">
        <v>56</v>
      </c>
      <c r="C19" s="52" t="s">
        <v>57</v>
      </c>
      <c r="D19" s="46"/>
      <c r="E19" s="46"/>
      <c r="F19" s="123"/>
      <c r="G19" s="277">
        <f>G20</f>
        <v>24640000</v>
      </c>
      <c r="I19" s="190">
        <f>I20</f>
        <v>30097414</v>
      </c>
      <c r="J19" s="190">
        <f t="shared" ref="J19:AI19" si="17">J20</f>
        <v>7000000</v>
      </c>
      <c r="K19" s="190">
        <f t="shared" si="17"/>
        <v>0</v>
      </c>
      <c r="L19" s="190">
        <f t="shared" si="17"/>
        <v>0</v>
      </c>
      <c r="M19" s="190">
        <f t="shared" si="17"/>
        <v>0</v>
      </c>
      <c r="N19" s="190">
        <f t="shared" si="17"/>
        <v>2435886</v>
      </c>
      <c r="O19" s="190">
        <f t="shared" si="17"/>
        <v>2435886</v>
      </c>
      <c r="P19" s="190">
        <f t="shared" si="17"/>
        <v>0</v>
      </c>
      <c r="Q19" s="190">
        <f t="shared" si="17"/>
        <v>0</v>
      </c>
      <c r="R19" s="190">
        <f t="shared" si="17"/>
        <v>0</v>
      </c>
      <c r="S19" s="190">
        <f t="shared" si="17"/>
        <v>6915382</v>
      </c>
      <c r="T19" s="190">
        <f t="shared" si="17"/>
        <v>6915382</v>
      </c>
      <c r="U19" s="190">
        <f t="shared" si="17"/>
        <v>0</v>
      </c>
      <c r="V19" s="190">
        <f t="shared" si="17"/>
        <v>0</v>
      </c>
      <c r="W19" s="190">
        <f t="shared" si="17"/>
        <v>0</v>
      </c>
      <c r="X19" s="190">
        <f t="shared" si="17"/>
        <v>6915382</v>
      </c>
      <c r="Y19" s="190">
        <f t="shared" si="17"/>
        <v>6915382</v>
      </c>
      <c r="Z19" s="190">
        <f t="shared" si="17"/>
        <v>0</v>
      </c>
      <c r="AA19" s="190">
        <f t="shared" si="17"/>
        <v>0</v>
      </c>
      <c r="AB19" s="190">
        <f t="shared" si="17"/>
        <v>0</v>
      </c>
      <c r="AC19" s="190">
        <f t="shared" si="17"/>
        <v>6915382</v>
      </c>
      <c r="AD19" s="190">
        <f t="shared" si="17"/>
        <v>6915382</v>
      </c>
      <c r="AE19" s="190">
        <f t="shared" si="17"/>
        <v>0</v>
      </c>
      <c r="AF19" s="190">
        <f t="shared" si="17"/>
        <v>0</v>
      </c>
      <c r="AG19" s="190">
        <f t="shared" si="17"/>
        <v>0</v>
      </c>
      <c r="AH19" s="190">
        <f t="shared" si="17"/>
        <v>6915382</v>
      </c>
      <c r="AI19" s="190">
        <f t="shared" si="17"/>
        <v>6915382</v>
      </c>
    </row>
    <row r="20" spans="2:35" s="1" customFormat="1" ht="12" customHeight="1" x14ac:dyDescent="0.2">
      <c r="B20" s="138" t="s">
        <v>58</v>
      </c>
      <c r="C20" s="139" t="s">
        <v>59</v>
      </c>
      <c r="D20" s="140">
        <v>4</v>
      </c>
      <c r="E20" s="140" t="s">
        <v>60</v>
      </c>
      <c r="F20" s="50">
        <v>6160000</v>
      </c>
      <c r="G20" s="50">
        <f t="shared" ref="G20" si="18">+D20*F20</f>
        <v>24640000</v>
      </c>
      <c r="I20" s="187">
        <f t="shared" si="4"/>
        <v>30097414</v>
      </c>
      <c r="J20" s="187">
        <v>7000000</v>
      </c>
      <c r="K20" s="187"/>
      <c r="L20" s="187"/>
      <c r="M20" s="187"/>
      <c r="N20" s="187">
        <v>2435886</v>
      </c>
      <c r="O20" s="187">
        <f>SUM(K20:N20)</f>
        <v>2435886</v>
      </c>
      <c r="P20" s="187"/>
      <c r="Q20" s="187"/>
      <c r="R20" s="187"/>
      <c r="S20" s="187">
        <v>6915382</v>
      </c>
      <c r="T20" s="187">
        <f>SUM(P20:S20)</f>
        <v>6915382</v>
      </c>
      <c r="U20" s="187"/>
      <c r="V20" s="187"/>
      <c r="W20" s="187"/>
      <c r="X20" s="187">
        <v>6915382</v>
      </c>
      <c r="Y20" s="187">
        <f>SUM(U20:X20)</f>
        <v>6915382</v>
      </c>
      <c r="Z20" s="187"/>
      <c r="AA20" s="187"/>
      <c r="AB20" s="187"/>
      <c r="AC20" s="187">
        <v>6915382</v>
      </c>
      <c r="AD20" s="187">
        <f>SUM(Z20:AC20)</f>
        <v>6915382</v>
      </c>
      <c r="AE20" s="187"/>
      <c r="AF20" s="187"/>
      <c r="AG20" s="187"/>
      <c r="AH20" s="187">
        <v>6915382</v>
      </c>
      <c r="AI20" s="187">
        <f>SUM(AE20:AH20)</f>
        <v>6915382</v>
      </c>
    </row>
    <row r="21" spans="2:35" ht="12" customHeight="1" x14ac:dyDescent="0.2">
      <c r="B21" s="44" t="s">
        <v>61</v>
      </c>
      <c r="C21" s="45" t="s">
        <v>62</v>
      </c>
      <c r="D21" s="46"/>
      <c r="E21" s="46"/>
      <c r="F21" s="123"/>
      <c r="G21" s="123">
        <f>SUM(G22:G30)</f>
        <v>750834.39999999991</v>
      </c>
      <c r="I21" s="184">
        <f t="shared" ref="I21:AI21" si="19">SUM(I22:I30)</f>
        <v>661557</v>
      </c>
      <c r="J21" s="184">
        <f t="shared" si="19"/>
        <v>661557</v>
      </c>
      <c r="K21" s="184">
        <f t="shared" si="19"/>
        <v>0</v>
      </c>
      <c r="L21" s="184">
        <f t="shared" si="19"/>
        <v>0</v>
      </c>
      <c r="M21" s="184">
        <f t="shared" si="19"/>
        <v>0</v>
      </c>
      <c r="N21" s="184">
        <f t="shared" si="19"/>
        <v>661557</v>
      </c>
      <c r="O21" s="184">
        <f t="shared" si="19"/>
        <v>661557</v>
      </c>
      <c r="P21" s="184">
        <f t="shared" si="19"/>
        <v>0</v>
      </c>
      <c r="Q21" s="184">
        <f t="shared" si="19"/>
        <v>0</v>
      </c>
      <c r="R21" s="184">
        <f t="shared" si="19"/>
        <v>0</v>
      </c>
      <c r="S21" s="184">
        <f t="shared" si="19"/>
        <v>0</v>
      </c>
      <c r="T21" s="184">
        <f t="shared" si="19"/>
        <v>0</v>
      </c>
      <c r="U21" s="184">
        <f t="shared" si="19"/>
        <v>0</v>
      </c>
      <c r="V21" s="184">
        <f t="shared" si="19"/>
        <v>0</v>
      </c>
      <c r="W21" s="184">
        <f t="shared" si="19"/>
        <v>0</v>
      </c>
      <c r="X21" s="184">
        <f t="shared" si="19"/>
        <v>0</v>
      </c>
      <c r="Y21" s="184">
        <f t="shared" si="19"/>
        <v>0</v>
      </c>
      <c r="Z21" s="184">
        <f t="shared" si="19"/>
        <v>0</v>
      </c>
      <c r="AA21" s="184">
        <f t="shared" si="19"/>
        <v>0</v>
      </c>
      <c r="AB21" s="184">
        <f t="shared" si="19"/>
        <v>0</v>
      </c>
      <c r="AC21" s="184">
        <f t="shared" si="19"/>
        <v>0</v>
      </c>
      <c r="AD21" s="184">
        <f t="shared" si="19"/>
        <v>0</v>
      </c>
      <c r="AE21" s="184">
        <f t="shared" si="19"/>
        <v>0</v>
      </c>
      <c r="AF21" s="184">
        <f t="shared" si="19"/>
        <v>0</v>
      </c>
      <c r="AG21" s="184">
        <f t="shared" si="19"/>
        <v>0</v>
      </c>
      <c r="AH21" s="184">
        <f t="shared" si="19"/>
        <v>0</v>
      </c>
      <c r="AI21" s="184">
        <f t="shared" si="19"/>
        <v>0</v>
      </c>
    </row>
    <row r="22" spans="2:35" ht="12" customHeight="1" x14ac:dyDescent="0.2">
      <c r="B22" s="53" t="s">
        <v>63</v>
      </c>
      <c r="C22" s="54" t="s">
        <v>64</v>
      </c>
      <c r="D22" s="55">
        <v>3</v>
      </c>
      <c r="E22" s="55" t="s">
        <v>65</v>
      </c>
      <c r="F22" s="126">
        <v>125384.29999999999</v>
      </c>
      <c r="G22" s="124">
        <f t="shared" ref="G22:G32" si="20">+D22*F22</f>
        <v>376152.89999999997</v>
      </c>
      <c r="I22" s="187">
        <f t="shared" si="4"/>
        <v>150000</v>
      </c>
      <c r="J22" s="187">
        <v>150000</v>
      </c>
      <c r="K22" s="187"/>
      <c r="L22" s="187"/>
      <c r="M22" s="187"/>
      <c r="N22" s="187">
        <v>150000</v>
      </c>
      <c r="O22" s="187">
        <f t="shared" ref="O22:O30" si="21">SUM(K22:N22)</f>
        <v>150000</v>
      </c>
      <c r="P22" s="187"/>
      <c r="Q22" s="187"/>
      <c r="R22" s="187"/>
      <c r="S22" s="187"/>
      <c r="T22" s="187">
        <f t="shared" ref="T22:T30" si="22">SUM(P22:S22)</f>
        <v>0</v>
      </c>
      <c r="U22" s="187"/>
      <c r="V22" s="187"/>
      <c r="W22" s="187"/>
      <c r="X22" s="187"/>
      <c r="Y22" s="187">
        <f t="shared" ref="Y22:Y30" si="23">SUM(U22:X22)</f>
        <v>0</v>
      </c>
      <c r="Z22" s="187"/>
      <c r="AA22" s="187"/>
      <c r="AB22" s="187"/>
      <c r="AC22" s="187"/>
      <c r="AD22" s="187">
        <f t="shared" ref="AD22:AD30" si="24">SUM(Z22:AC22)</f>
        <v>0</v>
      </c>
      <c r="AE22" s="187"/>
      <c r="AF22" s="187"/>
      <c r="AG22" s="187"/>
      <c r="AH22" s="187"/>
      <c r="AI22" s="187">
        <f t="shared" ref="AI22:AI30" si="25">SUM(AE22:AH22)</f>
        <v>0</v>
      </c>
    </row>
    <row r="23" spans="2:35" ht="12" customHeight="1" x14ac:dyDescent="0.2">
      <c r="B23" s="53" t="s">
        <v>66</v>
      </c>
      <c r="C23" s="48" t="s">
        <v>67</v>
      </c>
      <c r="D23" s="49">
        <v>1</v>
      </c>
      <c r="E23" s="49" t="s">
        <v>65</v>
      </c>
      <c r="F23" s="124">
        <v>17867</v>
      </c>
      <c r="G23" s="124">
        <f t="shared" si="20"/>
        <v>17867</v>
      </c>
      <c r="I23" s="187">
        <f t="shared" si="4"/>
        <v>17850</v>
      </c>
      <c r="J23" s="187">
        <v>17850</v>
      </c>
      <c r="K23" s="187"/>
      <c r="L23" s="187"/>
      <c r="M23" s="187"/>
      <c r="N23" s="187">
        <v>17850</v>
      </c>
      <c r="O23" s="187">
        <f t="shared" si="21"/>
        <v>17850</v>
      </c>
      <c r="P23" s="187"/>
      <c r="Q23" s="187"/>
      <c r="R23" s="187"/>
      <c r="S23" s="187"/>
      <c r="T23" s="187">
        <f t="shared" si="22"/>
        <v>0</v>
      </c>
      <c r="U23" s="187"/>
      <c r="V23" s="187"/>
      <c r="W23" s="187"/>
      <c r="X23" s="187"/>
      <c r="Y23" s="187">
        <f t="shared" si="23"/>
        <v>0</v>
      </c>
      <c r="Z23" s="187"/>
      <c r="AA23" s="187"/>
      <c r="AB23" s="187"/>
      <c r="AC23" s="187"/>
      <c r="AD23" s="187">
        <f t="shared" si="24"/>
        <v>0</v>
      </c>
      <c r="AE23" s="187"/>
      <c r="AF23" s="187"/>
      <c r="AG23" s="187"/>
      <c r="AH23" s="187"/>
      <c r="AI23" s="187">
        <f t="shared" si="25"/>
        <v>0</v>
      </c>
    </row>
    <row r="24" spans="2:35" ht="12" customHeight="1" x14ac:dyDescent="0.2">
      <c r="B24" s="53" t="s">
        <v>68</v>
      </c>
      <c r="C24" s="48" t="s">
        <v>69</v>
      </c>
      <c r="D24" s="49">
        <v>3</v>
      </c>
      <c r="E24" s="49" t="s">
        <v>65</v>
      </c>
      <c r="F24" s="124">
        <v>2627.5</v>
      </c>
      <c r="G24" s="124">
        <f t="shared" si="20"/>
        <v>7882.5</v>
      </c>
      <c r="I24" s="187">
        <f t="shared" si="4"/>
        <v>4341</v>
      </c>
      <c r="J24" s="187">
        <v>4341</v>
      </c>
      <c r="K24" s="187"/>
      <c r="L24" s="187"/>
      <c r="M24" s="187"/>
      <c r="N24" s="187">
        <v>4341</v>
      </c>
      <c r="O24" s="187">
        <f t="shared" si="21"/>
        <v>4341</v>
      </c>
      <c r="P24" s="187"/>
      <c r="Q24" s="187"/>
      <c r="R24" s="187"/>
      <c r="S24" s="187"/>
      <c r="T24" s="187">
        <f t="shared" si="22"/>
        <v>0</v>
      </c>
      <c r="U24" s="187"/>
      <c r="V24" s="187"/>
      <c r="W24" s="187"/>
      <c r="X24" s="187"/>
      <c r="Y24" s="187">
        <f t="shared" si="23"/>
        <v>0</v>
      </c>
      <c r="Z24" s="187"/>
      <c r="AA24" s="187"/>
      <c r="AB24" s="187"/>
      <c r="AC24" s="187"/>
      <c r="AD24" s="187">
        <f t="shared" si="24"/>
        <v>0</v>
      </c>
      <c r="AE24" s="187"/>
      <c r="AF24" s="187"/>
      <c r="AG24" s="187"/>
      <c r="AH24" s="187"/>
      <c r="AI24" s="187">
        <f t="shared" si="25"/>
        <v>0</v>
      </c>
    </row>
    <row r="25" spans="2:35" ht="12" customHeight="1" x14ac:dyDescent="0.2">
      <c r="B25" s="53" t="s">
        <v>70</v>
      </c>
      <c r="C25" s="48" t="s">
        <v>71</v>
      </c>
      <c r="D25" s="49">
        <v>3</v>
      </c>
      <c r="E25" s="49" t="s">
        <v>65</v>
      </c>
      <c r="F25" s="124">
        <v>5780.5</v>
      </c>
      <c r="G25" s="124">
        <f t="shared" si="20"/>
        <v>17341.5</v>
      </c>
      <c r="I25" s="187">
        <f t="shared" si="4"/>
        <v>23324</v>
      </c>
      <c r="J25" s="187">
        <v>23324</v>
      </c>
      <c r="K25" s="187"/>
      <c r="L25" s="187"/>
      <c r="M25" s="187"/>
      <c r="N25" s="187">
        <v>23324</v>
      </c>
      <c r="O25" s="187">
        <f t="shared" si="21"/>
        <v>23324</v>
      </c>
      <c r="P25" s="187"/>
      <c r="Q25" s="187"/>
      <c r="R25" s="187"/>
      <c r="S25" s="187"/>
      <c r="T25" s="187">
        <f t="shared" si="22"/>
        <v>0</v>
      </c>
      <c r="U25" s="187"/>
      <c r="V25" s="187"/>
      <c r="W25" s="187"/>
      <c r="X25" s="187"/>
      <c r="Y25" s="187">
        <f t="shared" si="23"/>
        <v>0</v>
      </c>
      <c r="Z25" s="187"/>
      <c r="AA25" s="187"/>
      <c r="AB25" s="187"/>
      <c r="AC25" s="187"/>
      <c r="AD25" s="187">
        <f t="shared" si="24"/>
        <v>0</v>
      </c>
      <c r="AE25" s="187"/>
      <c r="AF25" s="187"/>
      <c r="AG25" s="187"/>
      <c r="AH25" s="187"/>
      <c r="AI25" s="187">
        <f t="shared" si="25"/>
        <v>0</v>
      </c>
    </row>
    <row r="26" spans="2:35" ht="12" customHeight="1" x14ac:dyDescent="0.2">
      <c r="B26" s="53" t="s">
        <v>72</v>
      </c>
      <c r="C26" s="48" t="s">
        <v>73</v>
      </c>
      <c r="D26" s="49">
        <v>1</v>
      </c>
      <c r="E26" s="49" t="s">
        <v>65</v>
      </c>
      <c r="F26" s="124">
        <v>72519</v>
      </c>
      <c r="G26" s="124">
        <f t="shared" si="20"/>
        <v>72519</v>
      </c>
      <c r="I26" s="187">
        <f t="shared" si="4"/>
        <v>66640</v>
      </c>
      <c r="J26" s="187">
        <v>66640</v>
      </c>
      <c r="K26" s="187"/>
      <c r="L26" s="187"/>
      <c r="M26" s="187"/>
      <c r="N26" s="187">
        <v>66640</v>
      </c>
      <c r="O26" s="187">
        <f t="shared" si="21"/>
        <v>66640</v>
      </c>
      <c r="P26" s="187"/>
      <c r="Q26" s="187"/>
      <c r="R26" s="187"/>
      <c r="S26" s="187"/>
      <c r="T26" s="187">
        <f t="shared" si="22"/>
        <v>0</v>
      </c>
      <c r="U26" s="187"/>
      <c r="V26" s="187"/>
      <c r="W26" s="187"/>
      <c r="X26" s="187"/>
      <c r="Y26" s="187">
        <f t="shared" si="23"/>
        <v>0</v>
      </c>
      <c r="Z26" s="187"/>
      <c r="AA26" s="187"/>
      <c r="AB26" s="187"/>
      <c r="AC26" s="187"/>
      <c r="AD26" s="187">
        <f t="shared" si="24"/>
        <v>0</v>
      </c>
      <c r="AE26" s="187"/>
      <c r="AF26" s="187"/>
      <c r="AG26" s="187"/>
      <c r="AH26" s="187"/>
      <c r="AI26" s="187">
        <f t="shared" si="25"/>
        <v>0</v>
      </c>
    </row>
    <row r="27" spans="2:35" ht="12" customHeight="1" x14ac:dyDescent="0.2">
      <c r="B27" s="53" t="s">
        <v>74</v>
      </c>
      <c r="C27" s="48" t="s">
        <v>75</v>
      </c>
      <c r="D27" s="49">
        <v>1</v>
      </c>
      <c r="E27" s="49" t="s">
        <v>65</v>
      </c>
      <c r="F27" s="124">
        <v>118762.99999999999</v>
      </c>
      <c r="G27" s="124">
        <f t="shared" si="20"/>
        <v>118762.99999999999</v>
      </c>
      <c r="I27" s="187">
        <f t="shared" si="4"/>
        <v>116739</v>
      </c>
      <c r="J27" s="187">
        <v>116739</v>
      </c>
      <c r="K27" s="187"/>
      <c r="L27" s="187"/>
      <c r="M27" s="187"/>
      <c r="N27" s="187">
        <v>116739</v>
      </c>
      <c r="O27" s="187">
        <f t="shared" si="21"/>
        <v>116739</v>
      </c>
      <c r="P27" s="187"/>
      <c r="Q27" s="187"/>
      <c r="R27" s="187"/>
      <c r="S27" s="187"/>
      <c r="T27" s="187">
        <f t="shared" si="22"/>
        <v>0</v>
      </c>
      <c r="U27" s="187"/>
      <c r="V27" s="187"/>
      <c r="W27" s="187"/>
      <c r="X27" s="187"/>
      <c r="Y27" s="187">
        <f t="shared" si="23"/>
        <v>0</v>
      </c>
      <c r="Z27" s="187"/>
      <c r="AA27" s="187"/>
      <c r="AB27" s="187"/>
      <c r="AC27" s="187"/>
      <c r="AD27" s="187">
        <f t="shared" si="24"/>
        <v>0</v>
      </c>
      <c r="AE27" s="187"/>
      <c r="AF27" s="187"/>
      <c r="AG27" s="187"/>
      <c r="AH27" s="187"/>
      <c r="AI27" s="187">
        <f t="shared" si="25"/>
        <v>0</v>
      </c>
    </row>
    <row r="28" spans="2:35" ht="12" customHeight="1" x14ac:dyDescent="0.2">
      <c r="B28" s="53" t="s">
        <v>76</v>
      </c>
      <c r="C28" s="48" t="s">
        <v>77</v>
      </c>
      <c r="D28" s="49">
        <v>3</v>
      </c>
      <c r="E28" s="49" t="s">
        <v>65</v>
      </c>
      <c r="F28" s="124">
        <v>3678.4999999999995</v>
      </c>
      <c r="G28" s="124">
        <f t="shared" si="20"/>
        <v>11035.499999999998</v>
      </c>
      <c r="I28" s="187">
        <f t="shared" si="4"/>
        <v>14756</v>
      </c>
      <c r="J28" s="187">
        <v>14756</v>
      </c>
      <c r="K28" s="187"/>
      <c r="L28" s="187"/>
      <c r="M28" s="187"/>
      <c r="N28" s="187">
        <v>14756</v>
      </c>
      <c r="O28" s="187">
        <f t="shared" si="21"/>
        <v>14756</v>
      </c>
      <c r="P28" s="187"/>
      <c r="Q28" s="187"/>
      <c r="R28" s="187"/>
      <c r="S28" s="187"/>
      <c r="T28" s="187">
        <f t="shared" si="22"/>
        <v>0</v>
      </c>
      <c r="U28" s="187"/>
      <c r="V28" s="187"/>
      <c r="W28" s="187"/>
      <c r="X28" s="187"/>
      <c r="Y28" s="187">
        <f t="shared" si="23"/>
        <v>0</v>
      </c>
      <c r="Z28" s="187"/>
      <c r="AA28" s="187"/>
      <c r="AB28" s="187"/>
      <c r="AC28" s="187"/>
      <c r="AD28" s="187">
        <f t="shared" si="24"/>
        <v>0</v>
      </c>
      <c r="AE28" s="187"/>
      <c r="AF28" s="187"/>
      <c r="AG28" s="187"/>
      <c r="AH28" s="187"/>
      <c r="AI28" s="187">
        <f t="shared" si="25"/>
        <v>0</v>
      </c>
    </row>
    <row r="29" spans="2:35" ht="12" customHeight="1" x14ac:dyDescent="0.2">
      <c r="B29" s="53" t="s">
        <v>78</v>
      </c>
      <c r="C29" s="48" t="s">
        <v>79</v>
      </c>
      <c r="D29" s="49">
        <v>1</v>
      </c>
      <c r="E29" s="49" t="s">
        <v>65</v>
      </c>
      <c r="F29" s="124">
        <v>78825</v>
      </c>
      <c r="G29" s="124">
        <f t="shared" si="20"/>
        <v>78825</v>
      </c>
      <c r="I29" s="187">
        <f t="shared" si="4"/>
        <v>81037</v>
      </c>
      <c r="J29" s="187">
        <v>81037</v>
      </c>
      <c r="K29" s="187"/>
      <c r="L29" s="187"/>
      <c r="M29" s="187"/>
      <c r="N29" s="187">
        <v>81037</v>
      </c>
      <c r="O29" s="187">
        <f t="shared" si="21"/>
        <v>81037</v>
      </c>
      <c r="P29" s="187"/>
      <c r="Q29" s="187"/>
      <c r="R29" s="187"/>
      <c r="S29" s="187"/>
      <c r="T29" s="187">
        <f t="shared" si="22"/>
        <v>0</v>
      </c>
      <c r="U29" s="187"/>
      <c r="V29" s="187"/>
      <c r="W29" s="187"/>
      <c r="X29" s="187"/>
      <c r="Y29" s="187">
        <f t="shared" si="23"/>
        <v>0</v>
      </c>
      <c r="Z29" s="187"/>
      <c r="AA29" s="187"/>
      <c r="AB29" s="187"/>
      <c r="AC29" s="187"/>
      <c r="AD29" s="187">
        <f t="shared" si="24"/>
        <v>0</v>
      </c>
      <c r="AE29" s="187"/>
      <c r="AF29" s="187"/>
      <c r="AG29" s="187"/>
      <c r="AH29" s="187"/>
      <c r="AI29" s="187">
        <f t="shared" si="25"/>
        <v>0</v>
      </c>
    </row>
    <row r="30" spans="2:35" ht="12" customHeight="1" x14ac:dyDescent="0.2">
      <c r="B30" s="53" t="s">
        <v>80</v>
      </c>
      <c r="C30" s="48" t="s">
        <v>81</v>
      </c>
      <c r="D30" s="49">
        <v>1</v>
      </c>
      <c r="E30" s="49" t="s">
        <v>65</v>
      </c>
      <c r="F30" s="124">
        <v>50448</v>
      </c>
      <c r="G30" s="124">
        <f t="shared" si="20"/>
        <v>50448</v>
      </c>
      <c r="I30" s="187">
        <f t="shared" si="4"/>
        <v>186870</v>
      </c>
      <c r="J30" s="187">
        <v>186870</v>
      </c>
      <c r="K30" s="187"/>
      <c r="L30" s="187"/>
      <c r="M30" s="187"/>
      <c r="N30" s="187">
        <v>186870</v>
      </c>
      <c r="O30" s="187">
        <f t="shared" si="21"/>
        <v>186870</v>
      </c>
      <c r="P30" s="187"/>
      <c r="Q30" s="187"/>
      <c r="R30" s="187"/>
      <c r="S30" s="187"/>
      <c r="T30" s="187">
        <f t="shared" si="22"/>
        <v>0</v>
      </c>
      <c r="U30" s="187"/>
      <c r="V30" s="187"/>
      <c r="W30" s="187"/>
      <c r="X30" s="187"/>
      <c r="Y30" s="187">
        <f t="shared" si="23"/>
        <v>0</v>
      </c>
      <c r="Z30" s="187"/>
      <c r="AA30" s="187"/>
      <c r="AB30" s="187"/>
      <c r="AC30" s="187"/>
      <c r="AD30" s="187">
        <f t="shared" si="24"/>
        <v>0</v>
      </c>
      <c r="AE30" s="187"/>
      <c r="AF30" s="187"/>
      <c r="AG30" s="187"/>
      <c r="AH30" s="187"/>
      <c r="AI30" s="187">
        <f t="shared" si="25"/>
        <v>0</v>
      </c>
    </row>
    <row r="31" spans="2:35" ht="12" customHeight="1" x14ac:dyDescent="0.2">
      <c r="B31" s="44" t="s">
        <v>82</v>
      </c>
      <c r="C31" s="45" t="s">
        <v>83</v>
      </c>
      <c r="D31" s="46">
        <f>SUM(D32)</f>
        <v>1</v>
      </c>
      <c r="E31" s="46">
        <f t="shared" ref="E31:AI31" si="26">SUM(E32)</f>
        <v>0</v>
      </c>
      <c r="F31" s="123">
        <f t="shared" si="26"/>
        <v>58546503</v>
      </c>
      <c r="G31" s="123">
        <f t="shared" si="26"/>
        <v>58546503</v>
      </c>
      <c r="I31" s="184">
        <f t="shared" si="26"/>
        <v>58546503</v>
      </c>
      <c r="J31" s="184">
        <f t="shared" si="26"/>
        <v>58546503</v>
      </c>
      <c r="K31" s="184">
        <f t="shared" si="26"/>
        <v>0</v>
      </c>
      <c r="L31" s="184">
        <f t="shared" si="26"/>
        <v>0</v>
      </c>
      <c r="M31" s="184">
        <f t="shared" si="26"/>
        <v>58546503</v>
      </c>
      <c r="N31" s="184">
        <f t="shared" si="26"/>
        <v>0</v>
      </c>
      <c r="O31" s="184">
        <f t="shared" si="26"/>
        <v>58546503</v>
      </c>
      <c r="P31" s="184">
        <f t="shared" si="26"/>
        <v>0</v>
      </c>
      <c r="Q31" s="184">
        <f t="shared" si="26"/>
        <v>0</v>
      </c>
      <c r="R31" s="184">
        <f t="shared" si="26"/>
        <v>0</v>
      </c>
      <c r="S31" s="184">
        <f t="shared" si="26"/>
        <v>0</v>
      </c>
      <c r="T31" s="184">
        <f t="shared" si="26"/>
        <v>0</v>
      </c>
      <c r="U31" s="184">
        <f t="shared" si="26"/>
        <v>0</v>
      </c>
      <c r="V31" s="184">
        <f t="shared" si="26"/>
        <v>0</v>
      </c>
      <c r="W31" s="184">
        <f t="shared" si="26"/>
        <v>0</v>
      </c>
      <c r="X31" s="184">
        <f t="shared" si="26"/>
        <v>0</v>
      </c>
      <c r="Y31" s="184">
        <f t="shared" si="26"/>
        <v>0</v>
      </c>
      <c r="Z31" s="184">
        <f t="shared" si="26"/>
        <v>0</v>
      </c>
      <c r="AA31" s="184">
        <f t="shared" si="26"/>
        <v>0</v>
      </c>
      <c r="AB31" s="184">
        <f t="shared" si="26"/>
        <v>0</v>
      </c>
      <c r="AC31" s="184">
        <f t="shared" si="26"/>
        <v>0</v>
      </c>
      <c r="AD31" s="184">
        <f t="shared" si="26"/>
        <v>0</v>
      </c>
      <c r="AE31" s="184">
        <f t="shared" si="26"/>
        <v>0</v>
      </c>
      <c r="AF31" s="184">
        <f t="shared" si="26"/>
        <v>0</v>
      </c>
      <c r="AG31" s="184">
        <f t="shared" si="26"/>
        <v>0</v>
      </c>
      <c r="AH31" s="184">
        <f t="shared" si="26"/>
        <v>0</v>
      </c>
      <c r="AI31" s="184">
        <f t="shared" si="26"/>
        <v>0</v>
      </c>
    </row>
    <row r="32" spans="2:35" ht="12" customHeight="1" x14ac:dyDescent="0.2">
      <c r="B32" s="47" t="s">
        <v>84</v>
      </c>
      <c r="C32" s="48" t="s">
        <v>85</v>
      </c>
      <c r="D32" s="49">
        <v>1</v>
      </c>
      <c r="E32" s="49" t="s">
        <v>37</v>
      </c>
      <c r="F32" s="124">
        <v>58546503</v>
      </c>
      <c r="G32" s="124">
        <f t="shared" si="20"/>
        <v>58546503</v>
      </c>
      <c r="I32" s="187">
        <f t="shared" si="4"/>
        <v>58546503</v>
      </c>
      <c r="J32" s="187">
        <v>58546503</v>
      </c>
      <c r="K32" s="187"/>
      <c r="L32" s="187"/>
      <c r="M32" s="187">
        <v>58546503</v>
      </c>
      <c r="N32" s="187"/>
      <c r="O32" s="187">
        <f>SUM(K32:N32)</f>
        <v>58546503</v>
      </c>
      <c r="P32" s="187"/>
      <c r="Q32" s="187"/>
      <c r="R32" s="187"/>
      <c r="S32" s="187"/>
      <c r="T32" s="187">
        <f>SUM(P32:S32)</f>
        <v>0</v>
      </c>
      <c r="U32" s="187"/>
      <c r="V32" s="187"/>
      <c r="W32" s="187"/>
      <c r="X32" s="187"/>
      <c r="Y32" s="187">
        <f>SUM(U32:X32)</f>
        <v>0</v>
      </c>
      <c r="Z32" s="187"/>
      <c r="AA32" s="187"/>
      <c r="AB32" s="187"/>
      <c r="AC32" s="187"/>
      <c r="AD32" s="187">
        <f>SUM(Z32:AC32)</f>
        <v>0</v>
      </c>
      <c r="AE32" s="187"/>
      <c r="AF32" s="187"/>
      <c r="AG32" s="187"/>
      <c r="AH32" s="187"/>
      <c r="AI32" s="187">
        <f>SUM(AE32:AH32)</f>
        <v>0</v>
      </c>
    </row>
    <row r="33" spans="2:35" ht="12" customHeight="1" x14ac:dyDescent="0.2">
      <c r="B33" s="41">
        <v>3</v>
      </c>
      <c r="C33" s="56" t="s">
        <v>86</v>
      </c>
      <c r="D33" s="57"/>
      <c r="E33" s="57"/>
      <c r="F33" s="122"/>
      <c r="G33" s="122">
        <f>G34</f>
        <v>0</v>
      </c>
      <c r="I33" s="180">
        <f t="shared" ref="I33:AI33" si="27">I34</f>
        <v>4200000</v>
      </c>
      <c r="J33" s="180">
        <f t="shared" si="27"/>
        <v>4200000</v>
      </c>
      <c r="K33" s="180">
        <f t="shared" si="27"/>
        <v>0</v>
      </c>
      <c r="L33" s="180">
        <f t="shared" si="27"/>
        <v>0</v>
      </c>
      <c r="M33" s="180">
        <f t="shared" si="27"/>
        <v>0</v>
      </c>
      <c r="N33" s="180">
        <f t="shared" si="27"/>
        <v>0</v>
      </c>
      <c r="O33" s="180">
        <f t="shared" si="27"/>
        <v>0</v>
      </c>
      <c r="P33" s="180">
        <f t="shared" si="27"/>
        <v>1850000</v>
      </c>
      <c r="Q33" s="180">
        <f t="shared" si="27"/>
        <v>0</v>
      </c>
      <c r="R33" s="180">
        <f t="shared" si="27"/>
        <v>0</v>
      </c>
      <c r="S33" s="180">
        <f t="shared" si="27"/>
        <v>0</v>
      </c>
      <c r="T33" s="180">
        <f t="shared" si="27"/>
        <v>1850000</v>
      </c>
      <c r="U33" s="180">
        <f t="shared" si="27"/>
        <v>0</v>
      </c>
      <c r="V33" s="180">
        <f t="shared" si="27"/>
        <v>500000</v>
      </c>
      <c r="W33" s="180">
        <f t="shared" si="27"/>
        <v>0</v>
      </c>
      <c r="X33" s="180">
        <f t="shared" si="27"/>
        <v>0</v>
      </c>
      <c r="Y33" s="180">
        <f t="shared" si="27"/>
        <v>500000</v>
      </c>
      <c r="Z33" s="180">
        <f t="shared" si="27"/>
        <v>0</v>
      </c>
      <c r="AA33" s="180">
        <f t="shared" si="27"/>
        <v>0</v>
      </c>
      <c r="AB33" s="180">
        <f t="shared" si="27"/>
        <v>1850000</v>
      </c>
      <c r="AC33" s="180">
        <f t="shared" si="27"/>
        <v>0</v>
      </c>
      <c r="AD33" s="180">
        <f t="shared" si="27"/>
        <v>1850000</v>
      </c>
      <c r="AE33" s="180">
        <f t="shared" si="27"/>
        <v>0</v>
      </c>
      <c r="AF33" s="180">
        <f t="shared" si="27"/>
        <v>0</v>
      </c>
      <c r="AG33" s="180">
        <f t="shared" si="27"/>
        <v>0</v>
      </c>
      <c r="AH33" s="180">
        <f t="shared" si="27"/>
        <v>0</v>
      </c>
      <c r="AI33" s="180">
        <f t="shared" si="27"/>
        <v>0</v>
      </c>
    </row>
    <row r="34" spans="2:35" ht="12" customHeight="1" x14ac:dyDescent="0.2">
      <c r="B34" s="44" t="s">
        <v>87</v>
      </c>
      <c r="C34" s="45" t="s">
        <v>86</v>
      </c>
      <c r="D34" s="46"/>
      <c r="E34" s="46"/>
      <c r="F34" s="123"/>
      <c r="G34" s="123">
        <f>SUM(G35:G38)</f>
        <v>0</v>
      </c>
      <c r="I34" s="184">
        <f t="shared" ref="I34:AI34" si="28">SUM(I35:I38)</f>
        <v>4200000</v>
      </c>
      <c r="J34" s="184">
        <f t="shared" si="28"/>
        <v>4200000</v>
      </c>
      <c r="K34" s="184">
        <f t="shared" si="28"/>
        <v>0</v>
      </c>
      <c r="L34" s="184">
        <f t="shared" si="28"/>
        <v>0</v>
      </c>
      <c r="M34" s="184">
        <f t="shared" si="28"/>
        <v>0</v>
      </c>
      <c r="N34" s="184">
        <f t="shared" si="28"/>
        <v>0</v>
      </c>
      <c r="O34" s="184">
        <f t="shared" si="28"/>
        <v>0</v>
      </c>
      <c r="P34" s="184">
        <f t="shared" si="28"/>
        <v>1850000</v>
      </c>
      <c r="Q34" s="184">
        <f t="shared" si="28"/>
        <v>0</v>
      </c>
      <c r="R34" s="184">
        <f t="shared" si="28"/>
        <v>0</v>
      </c>
      <c r="S34" s="184">
        <f t="shared" si="28"/>
        <v>0</v>
      </c>
      <c r="T34" s="184">
        <f t="shared" si="28"/>
        <v>1850000</v>
      </c>
      <c r="U34" s="184">
        <f t="shared" si="28"/>
        <v>0</v>
      </c>
      <c r="V34" s="184">
        <f t="shared" si="28"/>
        <v>500000</v>
      </c>
      <c r="W34" s="184">
        <f t="shared" si="28"/>
        <v>0</v>
      </c>
      <c r="X34" s="184">
        <f t="shared" si="28"/>
        <v>0</v>
      </c>
      <c r="Y34" s="184">
        <f t="shared" si="28"/>
        <v>500000</v>
      </c>
      <c r="Z34" s="184">
        <f t="shared" si="28"/>
        <v>0</v>
      </c>
      <c r="AA34" s="184">
        <f t="shared" si="28"/>
        <v>0</v>
      </c>
      <c r="AB34" s="184">
        <f t="shared" si="28"/>
        <v>1850000</v>
      </c>
      <c r="AC34" s="184">
        <f t="shared" si="28"/>
        <v>0</v>
      </c>
      <c r="AD34" s="184">
        <f t="shared" si="28"/>
        <v>1850000</v>
      </c>
      <c r="AE34" s="184">
        <f t="shared" si="28"/>
        <v>0</v>
      </c>
      <c r="AF34" s="184">
        <f t="shared" si="28"/>
        <v>0</v>
      </c>
      <c r="AG34" s="184">
        <f t="shared" si="28"/>
        <v>0</v>
      </c>
      <c r="AH34" s="184">
        <f t="shared" si="28"/>
        <v>0</v>
      </c>
      <c r="AI34" s="184">
        <f t="shared" si="28"/>
        <v>0</v>
      </c>
    </row>
    <row r="35" spans="2:35" ht="12" customHeight="1" x14ac:dyDescent="0.2">
      <c r="B35" s="47" t="s">
        <v>88</v>
      </c>
      <c r="C35" s="48" t="s">
        <v>89</v>
      </c>
      <c r="D35" s="49"/>
      <c r="E35" s="49"/>
      <c r="F35" s="124"/>
      <c r="G35" s="124"/>
      <c r="I35" s="187">
        <f t="shared" ref="I35:I38" si="29">O35+T35+Y35+AD35+AI35</f>
        <v>1237600</v>
      </c>
      <c r="J35" s="187">
        <v>1237600</v>
      </c>
      <c r="K35" s="187"/>
      <c r="L35" s="187"/>
      <c r="M35" s="187"/>
      <c r="N35" s="187"/>
      <c r="O35" s="187">
        <f t="shared" ref="O35:O38" si="30">SUM(K35:N35)</f>
        <v>0</v>
      </c>
      <c r="P35" s="187">
        <v>618800</v>
      </c>
      <c r="Q35" s="187"/>
      <c r="R35" s="187"/>
      <c r="S35" s="187"/>
      <c r="T35" s="187">
        <f t="shared" ref="T35:T38" si="31">SUM(P35:S35)</f>
        <v>618800</v>
      </c>
      <c r="U35" s="187"/>
      <c r="V35" s="187"/>
      <c r="W35" s="187"/>
      <c r="X35" s="187"/>
      <c r="Y35" s="187">
        <f t="shared" ref="Y35:Y38" si="32">SUM(U35:X35)</f>
        <v>0</v>
      </c>
      <c r="Z35" s="187"/>
      <c r="AA35" s="187"/>
      <c r="AB35" s="187">
        <v>618800</v>
      </c>
      <c r="AC35" s="187"/>
      <c r="AD35" s="187">
        <f t="shared" ref="AD35:AD38" si="33">SUM(Z35:AC35)</f>
        <v>618800</v>
      </c>
      <c r="AE35" s="187"/>
      <c r="AF35" s="187"/>
      <c r="AG35" s="187"/>
      <c r="AH35" s="187"/>
      <c r="AI35" s="187">
        <f t="shared" ref="AI35:AI38" si="34">SUM(AE35:AH35)</f>
        <v>0</v>
      </c>
    </row>
    <row r="36" spans="2:35" ht="12" customHeight="1" x14ac:dyDescent="0.2">
      <c r="B36" s="47" t="s">
        <v>90</v>
      </c>
      <c r="C36" s="48" t="s">
        <v>91</v>
      </c>
      <c r="D36" s="49"/>
      <c r="E36" s="49"/>
      <c r="F36" s="124"/>
      <c r="G36" s="124"/>
      <c r="I36" s="187">
        <f t="shared" si="29"/>
        <v>292400</v>
      </c>
      <c r="J36" s="187">
        <v>292400</v>
      </c>
      <c r="K36" s="187"/>
      <c r="L36" s="187"/>
      <c r="M36" s="187"/>
      <c r="N36" s="187"/>
      <c r="O36" s="187">
        <f t="shared" si="30"/>
        <v>0</v>
      </c>
      <c r="P36" s="187">
        <v>146200</v>
      </c>
      <c r="Q36" s="187"/>
      <c r="R36" s="187"/>
      <c r="S36" s="187"/>
      <c r="T36" s="187">
        <f t="shared" si="31"/>
        <v>146200</v>
      </c>
      <c r="U36" s="187"/>
      <c r="V36" s="187"/>
      <c r="W36" s="187"/>
      <c r="X36" s="187"/>
      <c r="Y36" s="187">
        <f t="shared" si="32"/>
        <v>0</v>
      </c>
      <c r="Z36" s="187"/>
      <c r="AA36" s="187"/>
      <c r="AB36" s="187">
        <v>146200</v>
      </c>
      <c r="AC36" s="187"/>
      <c r="AD36" s="187">
        <f t="shared" si="33"/>
        <v>146200</v>
      </c>
      <c r="AE36" s="187"/>
      <c r="AF36" s="187"/>
      <c r="AG36" s="187"/>
      <c r="AH36" s="187"/>
      <c r="AI36" s="187">
        <f t="shared" si="34"/>
        <v>0</v>
      </c>
    </row>
    <row r="37" spans="2:35" ht="12" customHeight="1" x14ac:dyDescent="0.2">
      <c r="B37" s="47" t="s">
        <v>92</v>
      </c>
      <c r="C37" s="48" t="s">
        <v>93</v>
      </c>
      <c r="D37" s="49"/>
      <c r="E37" s="49"/>
      <c r="F37" s="124"/>
      <c r="G37" s="124"/>
      <c r="I37" s="187">
        <f t="shared" si="29"/>
        <v>2190000</v>
      </c>
      <c r="J37" s="187">
        <v>2190000</v>
      </c>
      <c r="K37" s="187"/>
      <c r="L37" s="187"/>
      <c r="M37" s="187"/>
      <c r="N37" s="187"/>
      <c r="O37" s="187">
        <f t="shared" si="30"/>
        <v>0</v>
      </c>
      <c r="P37" s="187">
        <v>845000</v>
      </c>
      <c r="Q37" s="187"/>
      <c r="R37" s="187"/>
      <c r="S37" s="187"/>
      <c r="T37" s="187">
        <f t="shared" si="31"/>
        <v>845000</v>
      </c>
      <c r="U37" s="187"/>
      <c r="V37" s="187">
        <v>500000</v>
      </c>
      <c r="W37" s="187"/>
      <c r="X37" s="187"/>
      <c r="Y37" s="187">
        <f t="shared" si="32"/>
        <v>500000</v>
      </c>
      <c r="Z37" s="187"/>
      <c r="AA37" s="187"/>
      <c r="AB37" s="187">
        <v>845000</v>
      </c>
      <c r="AC37" s="187"/>
      <c r="AD37" s="187">
        <f t="shared" si="33"/>
        <v>845000</v>
      </c>
      <c r="AE37" s="187"/>
      <c r="AF37" s="187"/>
      <c r="AG37" s="187"/>
      <c r="AH37" s="187"/>
      <c r="AI37" s="187">
        <f t="shared" si="34"/>
        <v>0</v>
      </c>
    </row>
    <row r="38" spans="2:35" ht="12" customHeight="1" x14ac:dyDescent="0.2">
      <c r="B38" s="47" t="s">
        <v>94</v>
      </c>
      <c r="C38" s="48" t="s">
        <v>95</v>
      </c>
      <c r="D38" s="49"/>
      <c r="E38" s="49"/>
      <c r="F38" s="124"/>
      <c r="G38" s="124"/>
      <c r="I38" s="187">
        <f t="shared" si="29"/>
        <v>480000</v>
      </c>
      <c r="J38" s="187">
        <v>480000</v>
      </c>
      <c r="K38" s="187"/>
      <c r="L38" s="187"/>
      <c r="M38" s="187"/>
      <c r="N38" s="187"/>
      <c r="O38" s="187">
        <f t="shared" si="30"/>
        <v>0</v>
      </c>
      <c r="P38" s="187">
        <v>240000</v>
      </c>
      <c r="Q38" s="187"/>
      <c r="R38" s="187"/>
      <c r="S38" s="187"/>
      <c r="T38" s="187">
        <f t="shared" si="31"/>
        <v>240000</v>
      </c>
      <c r="U38" s="187"/>
      <c r="V38" s="187"/>
      <c r="W38" s="187"/>
      <c r="X38" s="187"/>
      <c r="Y38" s="187">
        <f t="shared" si="32"/>
        <v>0</v>
      </c>
      <c r="Z38" s="187"/>
      <c r="AA38" s="187"/>
      <c r="AB38" s="187">
        <v>240000</v>
      </c>
      <c r="AC38" s="187"/>
      <c r="AD38" s="187">
        <f t="shared" si="33"/>
        <v>240000</v>
      </c>
      <c r="AE38" s="187"/>
      <c r="AF38" s="187"/>
      <c r="AG38" s="187"/>
      <c r="AH38" s="187"/>
      <c r="AI38" s="187">
        <f t="shared" si="34"/>
        <v>0</v>
      </c>
    </row>
    <row r="39" spans="2:35" ht="12" customHeight="1" x14ac:dyDescent="0.2">
      <c r="B39" s="41">
        <v>4</v>
      </c>
      <c r="C39" s="56" t="s">
        <v>96</v>
      </c>
      <c r="D39" s="57"/>
      <c r="E39" s="57"/>
      <c r="F39" s="122"/>
      <c r="G39" s="122">
        <f>G40</f>
        <v>0</v>
      </c>
      <c r="I39" s="180">
        <f t="shared" ref="I39:AI40" si="35">I40</f>
        <v>11448635.5</v>
      </c>
      <c r="J39" s="180">
        <f t="shared" si="35"/>
        <v>11448635</v>
      </c>
      <c r="K39" s="180">
        <f t="shared" si="35"/>
        <v>0</v>
      </c>
      <c r="L39" s="180">
        <f t="shared" si="35"/>
        <v>0</v>
      </c>
      <c r="M39" s="180">
        <f t="shared" si="35"/>
        <v>0</v>
      </c>
      <c r="N39" s="180">
        <f t="shared" si="35"/>
        <v>0</v>
      </c>
      <c r="O39" s="180">
        <f t="shared" si="35"/>
        <v>0</v>
      </c>
      <c r="P39" s="180">
        <f t="shared" si="35"/>
        <v>0</v>
      </c>
      <c r="Q39" s="180">
        <f t="shared" si="35"/>
        <v>5724317.5</v>
      </c>
      <c r="R39" s="180">
        <f t="shared" si="35"/>
        <v>0</v>
      </c>
      <c r="S39" s="180">
        <f t="shared" si="35"/>
        <v>5724318</v>
      </c>
      <c r="T39" s="180">
        <f t="shared" si="35"/>
        <v>11448635.5</v>
      </c>
      <c r="U39" s="180">
        <f t="shared" si="35"/>
        <v>0</v>
      </c>
      <c r="V39" s="180">
        <f t="shared" si="35"/>
        <v>0</v>
      </c>
      <c r="W39" s="180">
        <f t="shared" si="35"/>
        <v>0</v>
      </c>
      <c r="X39" s="180">
        <f t="shared" si="35"/>
        <v>0</v>
      </c>
      <c r="Y39" s="180">
        <f t="shared" si="35"/>
        <v>0</v>
      </c>
      <c r="Z39" s="180">
        <f t="shared" si="35"/>
        <v>0</v>
      </c>
      <c r="AA39" s="180">
        <f t="shared" si="35"/>
        <v>0</v>
      </c>
      <c r="AB39" s="180">
        <f t="shared" si="35"/>
        <v>0</v>
      </c>
      <c r="AC39" s="180">
        <f t="shared" si="35"/>
        <v>0</v>
      </c>
      <c r="AD39" s="180">
        <f t="shared" si="35"/>
        <v>0</v>
      </c>
      <c r="AE39" s="180">
        <f t="shared" si="35"/>
        <v>0</v>
      </c>
      <c r="AF39" s="180">
        <f t="shared" si="35"/>
        <v>0</v>
      </c>
      <c r="AG39" s="180">
        <f t="shared" si="35"/>
        <v>0</v>
      </c>
      <c r="AH39" s="180">
        <f t="shared" si="35"/>
        <v>0</v>
      </c>
      <c r="AI39" s="180">
        <f t="shared" si="35"/>
        <v>0</v>
      </c>
    </row>
    <row r="40" spans="2:35" ht="12" customHeight="1" x14ac:dyDescent="0.2">
      <c r="B40" s="44" t="s">
        <v>97</v>
      </c>
      <c r="C40" s="45" t="s">
        <v>98</v>
      </c>
      <c r="D40" s="46"/>
      <c r="E40" s="46"/>
      <c r="F40" s="123"/>
      <c r="G40" s="123">
        <f>G41</f>
        <v>0</v>
      </c>
      <c r="I40" s="184">
        <f t="shared" si="35"/>
        <v>11448635.5</v>
      </c>
      <c r="J40" s="184">
        <f t="shared" si="35"/>
        <v>11448635</v>
      </c>
      <c r="K40" s="184">
        <f t="shared" si="35"/>
        <v>0</v>
      </c>
      <c r="L40" s="184">
        <f t="shared" si="35"/>
        <v>0</v>
      </c>
      <c r="M40" s="184">
        <f t="shared" si="35"/>
        <v>0</v>
      </c>
      <c r="N40" s="184">
        <f t="shared" si="35"/>
        <v>0</v>
      </c>
      <c r="O40" s="184">
        <f t="shared" si="35"/>
        <v>0</v>
      </c>
      <c r="P40" s="184">
        <f t="shared" si="35"/>
        <v>0</v>
      </c>
      <c r="Q40" s="184">
        <f t="shared" si="35"/>
        <v>5724317.5</v>
      </c>
      <c r="R40" s="184">
        <f t="shared" si="35"/>
        <v>0</v>
      </c>
      <c r="S40" s="184">
        <f t="shared" si="35"/>
        <v>5724318</v>
      </c>
      <c r="T40" s="184">
        <f t="shared" si="35"/>
        <v>11448635.5</v>
      </c>
      <c r="U40" s="184">
        <f t="shared" si="35"/>
        <v>0</v>
      </c>
      <c r="V40" s="184">
        <f t="shared" si="35"/>
        <v>0</v>
      </c>
      <c r="W40" s="184">
        <f t="shared" si="35"/>
        <v>0</v>
      </c>
      <c r="X40" s="184">
        <f t="shared" si="35"/>
        <v>0</v>
      </c>
      <c r="Y40" s="184">
        <f t="shared" si="35"/>
        <v>0</v>
      </c>
      <c r="Z40" s="184">
        <f t="shared" si="35"/>
        <v>0</v>
      </c>
      <c r="AA40" s="184">
        <f t="shared" si="35"/>
        <v>0</v>
      </c>
      <c r="AB40" s="184">
        <f t="shared" si="35"/>
        <v>0</v>
      </c>
      <c r="AC40" s="184">
        <f t="shared" si="35"/>
        <v>0</v>
      </c>
      <c r="AD40" s="184">
        <f t="shared" si="35"/>
        <v>0</v>
      </c>
      <c r="AE40" s="184">
        <f t="shared" si="35"/>
        <v>0</v>
      </c>
      <c r="AF40" s="184">
        <f t="shared" si="35"/>
        <v>0</v>
      </c>
      <c r="AG40" s="184">
        <f t="shared" si="35"/>
        <v>0</v>
      </c>
      <c r="AH40" s="184">
        <f t="shared" si="35"/>
        <v>0</v>
      </c>
      <c r="AI40" s="184">
        <f t="shared" si="35"/>
        <v>0</v>
      </c>
    </row>
    <row r="41" spans="2:35" ht="12" customHeight="1" x14ac:dyDescent="0.2">
      <c r="B41" s="127" t="s">
        <v>99</v>
      </c>
      <c r="C41" s="118" t="s">
        <v>98</v>
      </c>
      <c r="D41" s="128"/>
      <c r="E41" s="128"/>
      <c r="F41" s="129"/>
      <c r="G41" s="124"/>
      <c r="I41" s="187">
        <f t="shared" ref="I41" si="36">O41+T41+Y41+AD41+AI41</f>
        <v>11448635.5</v>
      </c>
      <c r="J41" s="187">
        <v>11448635</v>
      </c>
      <c r="K41" s="187"/>
      <c r="L41" s="187"/>
      <c r="M41" s="187"/>
      <c r="N41" s="187"/>
      <c r="O41" s="187">
        <f>SUM(K41:N41)</f>
        <v>0</v>
      </c>
      <c r="P41" s="187"/>
      <c r="Q41" s="187">
        <v>5724317.5</v>
      </c>
      <c r="R41" s="187"/>
      <c r="S41" s="187">
        <v>5724318</v>
      </c>
      <c r="T41" s="187">
        <f>SUM(P41:S41)</f>
        <v>11448635.5</v>
      </c>
      <c r="U41" s="187"/>
      <c r="V41" s="187"/>
      <c r="W41" s="187"/>
      <c r="X41" s="187"/>
      <c r="Y41" s="187">
        <f>SUM(U41:X41)</f>
        <v>0</v>
      </c>
      <c r="Z41" s="187"/>
      <c r="AA41" s="187"/>
      <c r="AB41" s="187"/>
      <c r="AC41" s="187"/>
      <c r="AD41" s="187">
        <f>SUM(Z41:AC41)</f>
        <v>0</v>
      </c>
      <c r="AE41" s="187"/>
      <c r="AF41" s="187"/>
      <c r="AG41" s="187"/>
      <c r="AH41" s="187"/>
      <c r="AI41" s="187">
        <f>SUM(AE41:AH41)</f>
        <v>0</v>
      </c>
    </row>
    <row r="42" spans="2:35" ht="12" customHeight="1" x14ac:dyDescent="0.2">
      <c r="B42" s="41">
        <v>5</v>
      </c>
      <c r="C42" s="56" t="s">
        <v>100</v>
      </c>
      <c r="D42" s="57"/>
      <c r="E42" s="57"/>
      <c r="F42" s="122"/>
      <c r="G42" s="122">
        <f>SUM(G43)</f>
        <v>0</v>
      </c>
      <c r="I42" s="180">
        <f>SUM(I43)</f>
        <v>243444435.63999999</v>
      </c>
      <c r="J42" s="180">
        <f t="shared" ref="J42:AI42" si="37">SUM(J43)</f>
        <v>2045743.2799999998</v>
      </c>
      <c r="K42" s="251">
        <f t="shared" si="37"/>
        <v>0</v>
      </c>
      <c r="L42" s="251">
        <f t="shared" si="37"/>
        <v>0</v>
      </c>
      <c r="M42" s="251">
        <f t="shared" si="37"/>
        <v>0</v>
      </c>
      <c r="N42" s="251">
        <f t="shared" si="37"/>
        <v>0</v>
      </c>
      <c r="O42" s="251">
        <f t="shared" si="37"/>
        <v>0</v>
      </c>
      <c r="P42" s="251">
        <f t="shared" si="37"/>
        <v>0</v>
      </c>
      <c r="Q42" s="251">
        <f t="shared" si="37"/>
        <v>48</v>
      </c>
      <c r="R42" s="251">
        <f t="shared" si="37"/>
        <v>0</v>
      </c>
      <c r="S42" s="251">
        <f t="shared" si="37"/>
        <v>102</v>
      </c>
      <c r="T42" s="251">
        <f t="shared" si="37"/>
        <v>150</v>
      </c>
      <c r="U42" s="251">
        <f t="shared" si="37"/>
        <v>0</v>
      </c>
      <c r="V42" s="251">
        <f t="shared" si="37"/>
        <v>164</v>
      </c>
      <c r="W42" s="251">
        <f t="shared" si="37"/>
        <v>0</v>
      </c>
      <c r="X42" s="251">
        <f t="shared" si="37"/>
        <v>0</v>
      </c>
      <c r="Y42" s="251">
        <f t="shared" si="37"/>
        <v>164</v>
      </c>
      <c r="Z42" s="251">
        <f t="shared" si="37"/>
        <v>0</v>
      </c>
      <c r="AA42" s="251">
        <f t="shared" si="37"/>
        <v>0</v>
      </c>
      <c r="AB42" s="251">
        <f t="shared" si="37"/>
        <v>0</v>
      </c>
      <c r="AC42" s="251">
        <f t="shared" si="37"/>
        <v>0</v>
      </c>
      <c r="AD42" s="251">
        <f t="shared" si="37"/>
        <v>0</v>
      </c>
      <c r="AE42" s="251">
        <f t="shared" si="37"/>
        <v>0</v>
      </c>
      <c r="AF42" s="251">
        <f t="shared" si="37"/>
        <v>0</v>
      </c>
      <c r="AG42" s="251">
        <f t="shared" si="37"/>
        <v>0</v>
      </c>
      <c r="AH42" s="251">
        <f t="shared" si="37"/>
        <v>0</v>
      </c>
      <c r="AI42" s="251">
        <f t="shared" si="37"/>
        <v>0</v>
      </c>
    </row>
    <row r="43" spans="2:35" ht="12" customHeight="1" x14ac:dyDescent="0.2">
      <c r="B43" s="44" t="s">
        <v>101</v>
      </c>
      <c r="C43" s="45" t="s">
        <v>102</v>
      </c>
      <c r="D43" s="46"/>
      <c r="E43" s="46"/>
      <c r="F43" s="123"/>
      <c r="G43" s="123">
        <f>G45</f>
        <v>0</v>
      </c>
      <c r="I43" s="184">
        <f>I44+I48</f>
        <v>243444435.63999999</v>
      </c>
      <c r="J43" s="184">
        <f>J44+J48</f>
        <v>2045743.2799999998</v>
      </c>
      <c r="K43" s="252">
        <f t="shared" ref="K43:AI43" si="38">K44+K48</f>
        <v>0</v>
      </c>
      <c r="L43" s="252">
        <f t="shared" si="38"/>
        <v>0</v>
      </c>
      <c r="M43" s="252">
        <f t="shared" si="38"/>
        <v>0</v>
      </c>
      <c r="N43" s="252">
        <f t="shared" si="38"/>
        <v>0</v>
      </c>
      <c r="O43" s="252">
        <f t="shared" si="38"/>
        <v>0</v>
      </c>
      <c r="P43" s="252">
        <f t="shared" si="38"/>
        <v>0</v>
      </c>
      <c r="Q43" s="252">
        <f t="shared" si="38"/>
        <v>48</v>
      </c>
      <c r="R43" s="252">
        <f t="shared" si="38"/>
        <v>0</v>
      </c>
      <c r="S43" s="252">
        <f t="shared" si="38"/>
        <v>102</v>
      </c>
      <c r="T43" s="252">
        <f t="shared" si="38"/>
        <v>150</v>
      </c>
      <c r="U43" s="252">
        <f t="shared" si="38"/>
        <v>0</v>
      </c>
      <c r="V43" s="252">
        <f t="shared" si="38"/>
        <v>164</v>
      </c>
      <c r="W43" s="252">
        <f t="shared" si="38"/>
        <v>0</v>
      </c>
      <c r="X43" s="252">
        <f t="shared" si="38"/>
        <v>0</v>
      </c>
      <c r="Y43" s="252">
        <f t="shared" si="38"/>
        <v>164</v>
      </c>
      <c r="Z43" s="252">
        <f t="shared" si="38"/>
        <v>0</v>
      </c>
      <c r="AA43" s="252">
        <f t="shared" si="38"/>
        <v>0</v>
      </c>
      <c r="AB43" s="252">
        <f t="shared" si="38"/>
        <v>0</v>
      </c>
      <c r="AC43" s="252">
        <f t="shared" si="38"/>
        <v>0</v>
      </c>
      <c r="AD43" s="252">
        <f t="shared" si="38"/>
        <v>0</v>
      </c>
      <c r="AE43" s="252">
        <f t="shared" si="38"/>
        <v>0</v>
      </c>
      <c r="AF43" s="252">
        <f t="shared" si="38"/>
        <v>0</v>
      </c>
      <c r="AG43" s="252">
        <f t="shared" si="38"/>
        <v>0</v>
      </c>
      <c r="AH43" s="252">
        <f t="shared" si="38"/>
        <v>0</v>
      </c>
      <c r="AI43" s="252">
        <f t="shared" si="38"/>
        <v>0</v>
      </c>
    </row>
    <row r="44" spans="2:35" ht="12" customHeight="1" x14ac:dyDescent="0.2">
      <c r="B44" s="141" t="s">
        <v>103</v>
      </c>
      <c r="C44" s="142" t="s">
        <v>104</v>
      </c>
      <c r="D44" s="143"/>
      <c r="E44" s="143"/>
      <c r="F44" s="144"/>
      <c r="G44" s="145"/>
      <c r="I44" s="195">
        <f>SUM(I45:I47)</f>
        <v>93907564.799999982</v>
      </c>
      <c r="J44" s="195">
        <f>SUM(J45:J47)</f>
        <v>866096.27999999991</v>
      </c>
      <c r="K44" s="253">
        <f t="shared" ref="K44:AI44" si="39">SUM(K45:K47)</f>
        <v>0</v>
      </c>
      <c r="L44" s="253">
        <f t="shared" si="39"/>
        <v>0</v>
      </c>
      <c r="M44" s="253">
        <f t="shared" si="39"/>
        <v>0</v>
      </c>
      <c r="N44" s="253">
        <f t="shared" si="39"/>
        <v>0</v>
      </c>
      <c r="O44" s="253">
        <f t="shared" si="39"/>
        <v>0</v>
      </c>
      <c r="P44" s="253">
        <f t="shared" si="39"/>
        <v>0</v>
      </c>
      <c r="Q44" s="253">
        <f t="shared" si="39"/>
        <v>48</v>
      </c>
      <c r="R44" s="253">
        <f t="shared" si="39"/>
        <v>0</v>
      </c>
      <c r="S44" s="253">
        <f t="shared" si="39"/>
        <v>102</v>
      </c>
      <c r="T44" s="253">
        <f t="shared" si="39"/>
        <v>150</v>
      </c>
      <c r="U44" s="253">
        <f t="shared" si="39"/>
        <v>0</v>
      </c>
      <c r="V44" s="253">
        <f t="shared" si="39"/>
        <v>0</v>
      </c>
      <c r="W44" s="253">
        <f t="shared" si="39"/>
        <v>0</v>
      </c>
      <c r="X44" s="253">
        <f t="shared" si="39"/>
        <v>0</v>
      </c>
      <c r="Y44" s="253">
        <f t="shared" si="39"/>
        <v>0</v>
      </c>
      <c r="Z44" s="253">
        <f t="shared" si="39"/>
        <v>0</v>
      </c>
      <c r="AA44" s="253">
        <f t="shared" si="39"/>
        <v>0</v>
      </c>
      <c r="AB44" s="253">
        <f t="shared" si="39"/>
        <v>0</v>
      </c>
      <c r="AC44" s="253">
        <f t="shared" si="39"/>
        <v>0</v>
      </c>
      <c r="AD44" s="253">
        <f t="shared" si="39"/>
        <v>0</v>
      </c>
      <c r="AE44" s="253">
        <f t="shared" si="39"/>
        <v>0</v>
      </c>
      <c r="AF44" s="253">
        <f t="shared" si="39"/>
        <v>0</v>
      </c>
      <c r="AG44" s="253">
        <f t="shared" si="39"/>
        <v>0</v>
      </c>
      <c r="AH44" s="253">
        <f t="shared" si="39"/>
        <v>0</v>
      </c>
      <c r="AI44" s="253">
        <f t="shared" si="39"/>
        <v>0</v>
      </c>
    </row>
    <row r="45" spans="2:35" ht="12" customHeight="1" x14ac:dyDescent="0.2">
      <c r="B45" s="117" t="s">
        <v>105</v>
      </c>
      <c r="C45" s="118" t="s">
        <v>106</v>
      </c>
      <c r="D45">
        <v>136</v>
      </c>
      <c r="E45" s="119" t="s">
        <v>107</v>
      </c>
      <c r="F45" s="130"/>
      <c r="G45" s="129"/>
      <c r="I45" s="187">
        <f>(O45+T45+Y45+AD45+AI45)*J45</f>
        <v>91167061.439999983</v>
      </c>
      <c r="J45" s="187">
        <f>563316*1.19</f>
        <v>670346.03999999992</v>
      </c>
      <c r="K45" s="254"/>
      <c r="L45" s="254"/>
      <c r="M45" s="254"/>
      <c r="N45" s="254"/>
      <c r="O45" s="254">
        <f t="shared" ref="O45:O47" si="40">SUM(K45:N45)</f>
        <v>0</v>
      </c>
      <c r="P45" s="254"/>
      <c r="Q45" s="254">
        <v>43</v>
      </c>
      <c r="R45" s="254"/>
      <c r="S45" s="254">
        <v>93</v>
      </c>
      <c r="T45" s="254">
        <f t="shared" ref="T45:T47" si="41">SUM(P45:S45)</f>
        <v>136</v>
      </c>
      <c r="U45" s="254"/>
      <c r="V45" s="254"/>
      <c r="W45" s="254"/>
      <c r="X45" s="254"/>
      <c r="Y45" s="254">
        <f t="shared" ref="Y45:Y47" si="42">SUM(U45:X45)</f>
        <v>0</v>
      </c>
      <c r="Z45" s="254"/>
      <c r="AA45" s="254"/>
      <c r="AB45" s="254"/>
      <c r="AC45" s="254"/>
      <c r="AD45" s="254">
        <f t="shared" ref="AD45:AD47" si="43">SUM(Z45:AC45)</f>
        <v>0</v>
      </c>
      <c r="AE45" s="254"/>
      <c r="AF45" s="254"/>
      <c r="AG45" s="254"/>
      <c r="AH45" s="254"/>
      <c r="AI45" s="254">
        <f t="shared" ref="AI45:AI47" si="44">SUM(AE45:AH45)</f>
        <v>0</v>
      </c>
    </row>
    <row r="46" spans="2:35" ht="12" customHeight="1" x14ac:dyDescent="0.2">
      <c r="B46" s="117" t="s">
        <v>108</v>
      </c>
      <c r="C46" s="118" t="s">
        <v>109</v>
      </c>
      <c r="E46" s="119"/>
      <c r="F46" s="130"/>
      <c r="G46" s="129"/>
      <c r="I46" s="187">
        <f t="shared" ref="I46:I47" si="45">(O46+T46+Y46+AD46+AI46)*J46</f>
        <v>0</v>
      </c>
      <c r="J46" s="187"/>
      <c r="K46" s="254"/>
      <c r="L46" s="254"/>
      <c r="M46" s="254"/>
      <c r="N46" s="254"/>
      <c r="O46" s="254">
        <f t="shared" si="40"/>
        <v>0</v>
      </c>
      <c r="P46" s="254"/>
      <c r="Q46" s="254"/>
      <c r="R46" s="254"/>
      <c r="S46" s="254"/>
      <c r="T46" s="254">
        <f t="shared" si="41"/>
        <v>0</v>
      </c>
      <c r="U46" s="254"/>
      <c r="V46" s="254"/>
      <c r="W46" s="254"/>
      <c r="X46" s="254"/>
      <c r="Y46" s="254">
        <f t="shared" si="42"/>
        <v>0</v>
      </c>
      <c r="Z46" s="254"/>
      <c r="AA46" s="254"/>
      <c r="AB46" s="254"/>
      <c r="AC46" s="254"/>
      <c r="AD46" s="254">
        <f t="shared" si="43"/>
        <v>0</v>
      </c>
      <c r="AE46" s="254"/>
      <c r="AF46" s="254"/>
      <c r="AG46" s="254"/>
      <c r="AH46" s="254"/>
      <c r="AI46" s="254">
        <f t="shared" si="44"/>
        <v>0</v>
      </c>
    </row>
    <row r="47" spans="2:35" ht="12" customHeight="1" x14ac:dyDescent="0.2">
      <c r="B47" s="117" t="s">
        <v>110</v>
      </c>
      <c r="C47" s="118" t="s">
        <v>111</v>
      </c>
      <c r="D47">
        <v>13</v>
      </c>
      <c r="E47" s="119" t="s">
        <v>107</v>
      </c>
      <c r="F47" s="130"/>
      <c r="G47" s="129"/>
      <c r="I47" s="187">
        <f t="shared" si="45"/>
        <v>2740503.36</v>
      </c>
      <c r="J47" s="187">
        <f>164496*1.19</f>
        <v>195750.24</v>
      </c>
      <c r="K47" s="254"/>
      <c r="L47" s="254"/>
      <c r="M47" s="254"/>
      <c r="N47" s="254"/>
      <c r="O47" s="254">
        <f t="shared" si="40"/>
        <v>0</v>
      </c>
      <c r="P47" s="254"/>
      <c r="Q47" s="254">
        <v>5</v>
      </c>
      <c r="R47" s="254"/>
      <c r="S47" s="254">
        <v>9</v>
      </c>
      <c r="T47" s="254">
        <f t="shared" si="41"/>
        <v>14</v>
      </c>
      <c r="U47" s="254"/>
      <c r="V47" s="254"/>
      <c r="W47" s="254"/>
      <c r="X47" s="254"/>
      <c r="Y47" s="254">
        <f t="shared" si="42"/>
        <v>0</v>
      </c>
      <c r="Z47" s="254"/>
      <c r="AA47" s="254"/>
      <c r="AB47" s="254"/>
      <c r="AC47" s="254"/>
      <c r="AD47" s="254">
        <f t="shared" si="43"/>
        <v>0</v>
      </c>
      <c r="AE47" s="254"/>
      <c r="AF47" s="254"/>
      <c r="AG47" s="254"/>
      <c r="AH47" s="254"/>
      <c r="AI47" s="254">
        <f t="shared" si="44"/>
        <v>0</v>
      </c>
    </row>
    <row r="48" spans="2:35" ht="12" customHeight="1" x14ac:dyDescent="0.2">
      <c r="B48" s="141" t="s">
        <v>112</v>
      </c>
      <c r="C48" s="142" t="s">
        <v>113</v>
      </c>
      <c r="E48" s="143"/>
      <c r="F48" s="144"/>
      <c r="G48" s="145"/>
      <c r="I48" s="195">
        <f>SUM(I49:I51)</f>
        <v>149536870.84</v>
      </c>
      <c r="J48" s="195">
        <f>SUM(J49:J51)</f>
        <v>1179647</v>
      </c>
      <c r="K48" s="253">
        <f t="shared" ref="K48:AI48" si="46">SUM(K49:K51)</f>
        <v>0</v>
      </c>
      <c r="L48" s="253">
        <f t="shared" si="46"/>
        <v>0</v>
      </c>
      <c r="M48" s="253">
        <f t="shared" si="46"/>
        <v>0</v>
      </c>
      <c r="N48" s="253">
        <f t="shared" si="46"/>
        <v>0</v>
      </c>
      <c r="O48" s="253">
        <f t="shared" si="46"/>
        <v>0</v>
      </c>
      <c r="P48" s="253">
        <f t="shared" si="46"/>
        <v>0</v>
      </c>
      <c r="Q48" s="253">
        <f t="shared" si="46"/>
        <v>0</v>
      </c>
      <c r="R48" s="253">
        <f t="shared" si="46"/>
        <v>0</v>
      </c>
      <c r="S48" s="253">
        <f t="shared" si="46"/>
        <v>0</v>
      </c>
      <c r="T48" s="253">
        <f t="shared" si="46"/>
        <v>0</v>
      </c>
      <c r="U48" s="253">
        <f t="shared" si="46"/>
        <v>0</v>
      </c>
      <c r="V48" s="253">
        <f t="shared" si="46"/>
        <v>164</v>
      </c>
      <c r="W48" s="253">
        <f t="shared" si="46"/>
        <v>0</v>
      </c>
      <c r="X48" s="253">
        <f t="shared" si="46"/>
        <v>0</v>
      </c>
      <c r="Y48" s="253">
        <f t="shared" si="46"/>
        <v>164</v>
      </c>
      <c r="Z48" s="253">
        <f t="shared" si="46"/>
        <v>0</v>
      </c>
      <c r="AA48" s="253">
        <f t="shared" si="46"/>
        <v>0</v>
      </c>
      <c r="AB48" s="253">
        <f t="shared" si="46"/>
        <v>0</v>
      </c>
      <c r="AC48" s="253">
        <f t="shared" si="46"/>
        <v>0</v>
      </c>
      <c r="AD48" s="253">
        <f t="shared" si="46"/>
        <v>0</v>
      </c>
      <c r="AE48" s="253">
        <f t="shared" si="46"/>
        <v>0</v>
      </c>
      <c r="AF48" s="253">
        <f t="shared" si="46"/>
        <v>0</v>
      </c>
      <c r="AG48" s="253">
        <f t="shared" si="46"/>
        <v>0</v>
      </c>
      <c r="AH48" s="253">
        <f t="shared" si="46"/>
        <v>0</v>
      </c>
      <c r="AI48" s="253">
        <f t="shared" si="46"/>
        <v>0</v>
      </c>
    </row>
    <row r="49" spans="2:36" ht="12" customHeight="1" x14ac:dyDescent="0.2">
      <c r="B49" s="117" t="s">
        <v>114</v>
      </c>
      <c r="C49" s="118" t="s">
        <v>115</v>
      </c>
      <c r="D49">
        <v>149</v>
      </c>
      <c r="E49" s="119" t="s">
        <v>107</v>
      </c>
      <c r="F49" s="130"/>
      <c r="G49" s="129"/>
      <c r="I49" s="187">
        <f>(O49+T49+Y49+AD49+AI49)*J49</f>
        <v>146600617.24000001</v>
      </c>
      <c r="J49" s="187">
        <f>826804*1.19</f>
        <v>983896.76</v>
      </c>
      <c r="K49" s="254"/>
      <c r="L49" s="254"/>
      <c r="M49" s="254"/>
      <c r="N49" s="254"/>
      <c r="O49" s="254">
        <f t="shared" ref="O49:O51" si="47">SUM(K49:N49)</f>
        <v>0</v>
      </c>
      <c r="P49" s="254"/>
      <c r="Q49" s="254"/>
      <c r="R49" s="254"/>
      <c r="S49" s="254"/>
      <c r="T49" s="254">
        <f t="shared" ref="T49:T51" si="48">SUM(P49:S49)</f>
        <v>0</v>
      </c>
      <c r="U49" s="254"/>
      <c r="V49" s="254">
        <v>149</v>
      </c>
      <c r="W49" s="254"/>
      <c r="X49" s="254"/>
      <c r="Y49" s="254">
        <f t="shared" ref="Y49:Y51" si="49">SUM(U49:X49)</f>
        <v>149</v>
      </c>
      <c r="Z49" s="254"/>
      <c r="AA49" s="254"/>
      <c r="AB49" s="254"/>
      <c r="AC49" s="254"/>
      <c r="AD49" s="254">
        <f t="shared" ref="AD49:AD51" si="50">SUM(Z49:AC49)</f>
        <v>0</v>
      </c>
      <c r="AE49" s="254"/>
      <c r="AF49" s="254"/>
      <c r="AG49" s="254"/>
      <c r="AH49" s="254"/>
      <c r="AI49" s="254">
        <f t="shared" ref="AI49:AI51" si="51">SUM(AE49:AH49)</f>
        <v>0</v>
      </c>
    </row>
    <row r="50" spans="2:36" ht="12" customHeight="1" x14ac:dyDescent="0.2">
      <c r="B50" s="117" t="s">
        <v>116</v>
      </c>
      <c r="C50" s="118" t="s">
        <v>117</v>
      </c>
      <c r="E50" s="119"/>
      <c r="F50" s="130"/>
      <c r="G50" s="129"/>
      <c r="I50" s="187">
        <f t="shared" ref="I50:I51" si="52">(O50+T50+Y50+AD50+AI50)*J50</f>
        <v>0</v>
      </c>
      <c r="J50" s="187"/>
      <c r="K50" s="254"/>
      <c r="L50" s="254"/>
      <c r="M50" s="254"/>
      <c r="N50" s="254"/>
      <c r="O50" s="254">
        <f t="shared" si="47"/>
        <v>0</v>
      </c>
      <c r="P50" s="254"/>
      <c r="Q50" s="254"/>
      <c r="R50" s="254"/>
      <c r="S50" s="254"/>
      <c r="T50" s="254">
        <f t="shared" si="48"/>
        <v>0</v>
      </c>
      <c r="U50" s="254"/>
      <c r="V50" s="254"/>
      <c r="W50" s="254"/>
      <c r="X50" s="254"/>
      <c r="Y50" s="254">
        <f t="shared" si="49"/>
        <v>0</v>
      </c>
      <c r="Z50" s="254"/>
      <c r="AA50" s="254"/>
      <c r="AB50" s="254"/>
      <c r="AC50" s="254"/>
      <c r="AD50" s="254">
        <f t="shared" si="50"/>
        <v>0</v>
      </c>
      <c r="AE50" s="254"/>
      <c r="AF50" s="254"/>
      <c r="AG50" s="254"/>
      <c r="AH50" s="254"/>
      <c r="AI50" s="254">
        <f t="shared" si="51"/>
        <v>0</v>
      </c>
    </row>
    <row r="51" spans="2:36" ht="12" customHeight="1" x14ac:dyDescent="0.2">
      <c r="B51" s="117" t="s">
        <v>118</v>
      </c>
      <c r="C51" s="118" t="s">
        <v>119</v>
      </c>
      <c r="D51">
        <v>15</v>
      </c>
      <c r="E51" s="119" t="s">
        <v>107</v>
      </c>
      <c r="F51" s="130"/>
      <c r="G51" s="129"/>
      <c r="I51" s="187">
        <f t="shared" si="52"/>
        <v>2936253.5999999996</v>
      </c>
      <c r="J51" s="187">
        <f>164496*1.19</f>
        <v>195750.24</v>
      </c>
      <c r="K51" s="254"/>
      <c r="L51" s="254"/>
      <c r="M51" s="254"/>
      <c r="N51" s="254"/>
      <c r="O51" s="254">
        <f t="shared" si="47"/>
        <v>0</v>
      </c>
      <c r="P51" s="254"/>
      <c r="Q51" s="254"/>
      <c r="R51" s="254"/>
      <c r="S51" s="254"/>
      <c r="T51" s="254">
        <f t="shared" si="48"/>
        <v>0</v>
      </c>
      <c r="U51" s="254"/>
      <c r="V51" s="254">
        <v>15</v>
      </c>
      <c r="W51" s="254"/>
      <c r="X51" s="254"/>
      <c r="Y51" s="254">
        <f t="shared" si="49"/>
        <v>15</v>
      </c>
      <c r="Z51" s="254"/>
      <c r="AA51" s="254"/>
      <c r="AB51" s="254"/>
      <c r="AC51" s="254"/>
      <c r="AD51" s="254">
        <f t="shared" si="50"/>
        <v>0</v>
      </c>
      <c r="AE51" s="254"/>
      <c r="AF51" s="254"/>
      <c r="AG51" s="254"/>
      <c r="AH51" s="254"/>
      <c r="AI51" s="254">
        <f t="shared" si="51"/>
        <v>0</v>
      </c>
    </row>
    <row r="52" spans="2:36" ht="12" customHeight="1" x14ac:dyDescent="0.2">
      <c r="B52" s="41">
        <v>6</v>
      </c>
      <c r="C52" s="56" t="s">
        <v>120</v>
      </c>
      <c r="D52" s="57"/>
      <c r="E52" s="57"/>
      <c r="F52" s="122"/>
      <c r="G52" s="122">
        <f>SUM(G53)</f>
        <v>2519593500</v>
      </c>
      <c r="I52" s="180">
        <f t="shared" ref="I52:AI52" si="53">SUM(I53)</f>
        <v>2318244559.6700001</v>
      </c>
      <c r="J52" s="180">
        <f t="shared" si="53"/>
        <v>4374.0463390000004</v>
      </c>
      <c r="K52" s="251">
        <f t="shared" si="53"/>
        <v>0</v>
      </c>
      <c r="L52" s="251">
        <f t="shared" si="53"/>
        <v>0</v>
      </c>
      <c r="M52" s="251">
        <f t="shared" si="53"/>
        <v>0</v>
      </c>
      <c r="N52" s="251">
        <f t="shared" si="53"/>
        <v>0</v>
      </c>
      <c r="O52" s="251">
        <f t="shared" si="53"/>
        <v>0</v>
      </c>
      <c r="P52" s="251">
        <f t="shared" si="53"/>
        <v>0</v>
      </c>
      <c r="Q52" s="251">
        <f t="shared" si="53"/>
        <v>0</v>
      </c>
      <c r="R52" s="251">
        <f t="shared" si="53"/>
        <v>0</v>
      </c>
      <c r="S52" s="251">
        <f t="shared" si="53"/>
        <v>0</v>
      </c>
      <c r="T52" s="251">
        <f t="shared" si="53"/>
        <v>0</v>
      </c>
      <c r="U52" s="251">
        <f t="shared" si="53"/>
        <v>0</v>
      </c>
      <c r="V52" s="251">
        <f t="shared" si="53"/>
        <v>80000</v>
      </c>
      <c r="W52" s="251">
        <f t="shared" si="53"/>
        <v>0</v>
      </c>
      <c r="X52" s="251">
        <f t="shared" si="53"/>
        <v>100000</v>
      </c>
      <c r="Y52" s="251">
        <f t="shared" si="53"/>
        <v>180000</v>
      </c>
      <c r="Z52" s="251">
        <f t="shared" si="53"/>
        <v>0</v>
      </c>
      <c r="AA52" s="251">
        <f t="shared" si="53"/>
        <v>100000</v>
      </c>
      <c r="AB52" s="251">
        <f t="shared" si="53"/>
        <v>0</v>
      </c>
      <c r="AC52" s="251">
        <f t="shared" si="53"/>
        <v>100000</v>
      </c>
      <c r="AD52" s="251">
        <f t="shared" si="53"/>
        <v>200000</v>
      </c>
      <c r="AE52" s="251">
        <f t="shared" si="53"/>
        <v>100000</v>
      </c>
      <c r="AF52" s="251">
        <f t="shared" si="53"/>
        <v>0</v>
      </c>
      <c r="AG52" s="251">
        <f t="shared" si="53"/>
        <v>50000</v>
      </c>
      <c r="AH52" s="251">
        <f t="shared" si="53"/>
        <v>0</v>
      </c>
      <c r="AI52" s="251">
        <f t="shared" si="53"/>
        <v>150000</v>
      </c>
    </row>
    <row r="53" spans="2:36" ht="12" customHeight="1" x14ac:dyDescent="0.2">
      <c r="B53" s="58" t="s">
        <v>121</v>
      </c>
      <c r="C53" s="45" t="s">
        <v>122</v>
      </c>
      <c r="D53" s="46"/>
      <c r="E53" s="46"/>
      <c r="F53" s="123"/>
      <c r="G53" s="123">
        <f>G54</f>
        <v>2519593500</v>
      </c>
      <c r="I53" s="184">
        <f t="shared" ref="I53:AI53" si="54">I54</f>
        <v>2318244559.6700001</v>
      </c>
      <c r="J53" s="184">
        <f t="shared" si="54"/>
        <v>4374.0463390000004</v>
      </c>
      <c r="K53" s="252">
        <f t="shared" si="54"/>
        <v>0</v>
      </c>
      <c r="L53" s="252">
        <f t="shared" si="54"/>
        <v>0</v>
      </c>
      <c r="M53" s="252">
        <f t="shared" si="54"/>
        <v>0</v>
      </c>
      <c r="N53" s="252">
        <f t="shared" si="54"/>
        <v>0</v>
      </c>
      <c r="O53" s="252">
        <f t="shared" si="54"/>
        <v>0</v>
      </c>
      <c r="P53" s="252">
        <f t="shared" si="54"/>
        <v>0</v>
      </c>
      <c r="Q53" s="252">
        <f t="shared" si="54"/>
        <v>0</v>
      </c>
      <c r="R53" s="252">
        <f t="shared" si="54"/>
        <v>0</v>
      </c>
      <c r="S53" s="252">
        <f t="shared" si="54"/>
        <v>0</v>
      </c>
      <c r="T53" s="252">
        <f t="shared" si="54"/>
        <v>0</v>
      </c>
      <c r="U53" s="252">
        <f t="shared" si="54"/>
        <v>0</v>
      </c>
      <c r="V53" s="252">
        <f t="shared" si="54"/>
        <v>80000</v>
      </c>
      <c r="W53" s="252">
        <f t="shared" si="54"/>
        <v>0</v>
      </c>
      <c r="X53" s="252">
        <f t="shared" si="54"/>
        <v>100000</v>
      </c>
      <c r="Y53" s="252">
        <f t="shared" si="54"/>
        <v>180000</v>
      </c>
      <c r="Z53" s="252">
        <f t="shared" si="54"/>
        <v>0</v>
      </c>
      <c r="AA53" s="252">
        <f t="shared" si="54"/>
        <v>100000</v>
      </c>
      <c r="AB53" s="252">
        <f t="shared" si="54"/>
        <v>0</v>
      </c>
      <c r="AC53" s="252">
        <f t="shared" si="54"/>
        <v>100000</v>
      </c>
      <c r="AD53" s="252">
        <f t="shared" si="54"/>
        <v>200000</v>
      </c>
      <c r="AE53" s="252">
        <f t="shared" si="54"/>
        <v>100000</v>
      </c>
      <c r="AF53" s="252">
        <f t="shared" si="54"/>
        <v>0</v>
      </c>
      <c r="AG53" s="252">
        <f t="shared" si="54"/>
        <v>50000</v>
      </c>
      <c r="AH53" s="252">
        <f t="shared" si="54"/>
        <v>0</v>
      </c>
      <c r="AI53" s="252">
        <f t="shared" si="54"/>
        <v>150000</v>
      </c>
    </row>
    <row r="54" spans="2:36" ht="12" customHeight="1" x14ac:dyDescent="0.2">
      <c r="B54" s="59" t="s">
        <v>123</v>
      </c>
      <c r="C54" s="48" t="s">
        <v>124</v>
      </c>
      <c r="D54" s="49">
        <v>530000</v>
      </c>
      <c r="E54" s="49" t="s">
        <v>125</v>
      </c>
      <c r="F54" s="124">
        <v>4753.95</v>
      </c>
      <c r="G54" s="124">
        <f>+D54*F54</f>
        <v>2519593500</v>
      </c>
      <c r="I54" s="187">
        <f>(O54+T54+Y54+AD54+AI54)*J54</f>
        <v>2318244559.6700001</v>
      </c>
      <c r="J54" s="187">
        <f>SUM(C69:C73)</f>
        <v>4374.0463390000004</v>
      </c>
      <c r="K54" s="254"/>
      <c r="L54" s="254">
        <f>J54*K54</f>
        <v>0</v>
      </c>
      <c r="M54" s="254"/>
      <c r="N54" s="254"/>
      <c r="O54" s="254">
        <f t="shared" ref="O54:O55" si="55">SUM(K54:N54)</f>
        <v>0</v>
      </c>
      <c r="P54" s="254">
        <f>O54*J54</f>
        <v>0</v>
      </c>
      <c r="Q54" s="254"/>
      <c r="R54" s="254"/>
      <c r="S54" s="254"/>
      <c r="T54" s="254"/>
      <c r="U54" s="254"/>
      <c r="V54" s="254">
        <v>80000</v>
      </c>
      <c r="W54" s="254"/>
      <c r="X54" s="254">
        <v>100000</v>
      </c>
      <c r="Y54" s="254">
        <f t="shared" ref="Y54:Y55" si="56">SUM(U54:X54)</f>
        <v>180000</v>
      </c>
      <c r="Z54" s="254"/>
      <c r="AA54" s="254">
        <v>100000</v>
      </c>
      <c r="AB54" s="254"/>
      <c r="AC54" s="254">
        <v>100000</v>
      </c>
      <c r="AD54" s="254">
        <f t="shared" ref="AD54:AD55" si="57">SUM(Z54:AC54)</f>
        <v>200000</v>
      </c>
      <c r="AE54" s="254">
        <v>100000</v>
      </c>
      <c r="AF54" s="254"/>
      <c r="AG54" s="254">
        <v>50000</v>
      </c>
      <c r="AH54" s="254"/>
      <c r="AI54" s="254">
        <f t="shared" ref="AI54:AI55" si="58">SUM(AE54:AH54)</f>
        <v>150000</v>
      </c>
    </row>
    <row r="55" spans="2:36" ht="12" customHeight="1" x14ac:dyDescent="0.2">
      <c r="B55" s="59" t="s">
        <v>126</v>
      </c>
      <c r="C55" s="283" t="s">
        <v>127</v>
      </c>
      <c r="D55" s="154"/>
      <c r="E55" s="154"/>
      <c r="F55" s="280"/>
      <c r="G55" s="280"/>
      <c r="I55" s="187">
        <f>(O55+T55+Y55+AD55+AI55)*J55</f>
        <v>2318244559.6700001</v>
      </c>
      <c r="J55" s="187">
        <f>SUM(C69:C73)</f>
        <v>4374.0463390000004</v>
      </c>
      <c r="K55" s="254"/>
      <c r="L55" s="254"/>
      <c r="M55" s="254"/>
      <c r="N55" s="254"/>
      <c r="O55" s="254">
        <f t="shared" si="55"/>
        <v>0</v>
      </c>
      <c r="P55" s="254"/>
      <c r="Q55">
        <v>10600</v>
      </c>
      <c r="R55">
        <v>15900</v>
      </c>
      <c r="S55">
        <v>37100</v>
      </c>
      <c r="T55" s="254">
        <f t="shared" ref="T55" si="59">SUM(P55:S55)</f>
        <v>63600</v>
      </c>
      <c r="U55">
        <v>37100</v>
      </c>
      <c r="V55">
        <v>53000</v>
      </c>
      <c r="W55">
        <v>47700</v>
      </c>
      <c r="X55">
        <v>53000</v>
      </c>
      <c r="Y55" s="254">
        <f t="shared" si="56"/>
        <v>190800</v>
      </c>
      <c r="Z55">
        <v>53000</v>
      </c>
      <c r="AA55">
        <v>63600</v>
      </c>
      <c r="AB55">
        <v>58300</v>
      </c>
      <c r="AC55">
        <v>42400</v>
      </c>
      <c r="AD55" s="254">
        <f t="shared" si="57"/>
        <v>217300</v>
      </c>
      <c r="AE55">
        <v>58300</v>
      </c>
      <c r="AF55" s="254"/>
      <c r="AG55" s="254"/>
      <c r="AH55" s="254"/>
      <c r="AI55" s="254">
        <f t="shared" si="58"/>
        <v>58300</v>
      </c>
    </row>
    <row r="56" spans="2:36" ht="12" customHeight="1" x14ac:dyDescent="0.2">
      <c r="B56" s="153"/>
      <c r="C56" s="279"/>
      <c r="D56" s="154"/>
      <c r="E56" s="154"/>
      <c r="F56" s="280"/>
      <c r="G56" s="280"/>
      <c r="I56" s="281"/>
      <c r="J56" s="281"/>
      <c r="K56" s="282"/>
      <c r="L56" s="282"/>
      <c r="M56" s="282"/>
      <c r="N56" s="282"/>
      <c r="O56" s="282"/>
      <c r="P56" s="282"/>
      <c r="AF56" s="282"/>
      <c r="AG56" s="282"/>
      <c r="AH56" s="282"/>
      <c r="AI56" s="282"/>
      <c r="AJ56" s="282"/>
    </row>
    <row r="57" spans="2:36" ht="12" customHeight="1" x14ac:dyDescent="0.2">
      <c r="B57" s="153"/>
      <c r="C57" s="279"/>
      <c r="D57" s="154"/>
      <c r="E57" s="154"/>
      <c r="F57" s="280"/>
      <c r="G57" s="280"/>
      <c r="I57" s="281"/>
      <c r="J57" s="281"/>
      <c r="K57" s="282"/>
      <c r="L57" s="282"/>
      <c r="M57" s="282"/>
      <c r="N57" s="282"/>
      <c r="O57" s="282"/>
      <c r="P57" s="282"/>
      <c r="Q57" s="282"/>
      <c r="R57" s="282"/>
      <c r="S57" s="282"/>
      <c r="T57" s="282"/>
      <c r="U57" s="282"/>
      <c r="V57" s="282"/>
      <c r="W57" s="282"/>
      <c r="X57" s="282"/>
      <c r="Y57" s="282"/>
      <c r="Z57" s="282"/>
      <c r="AA57" s="282"/>
      <c r="AB57" s="282"/>
      <c r="AC57" s="282"/>
      <c r="AD57" s="282"/>
      <c r="AF57" s="282"/>
      <c r="AG57" s="282"/>
      <c r="AH57" s="282"/>
      <c r="AI57" s="282"/>
    </row>
    <row r="59" spans="2:36" ht="12" customHeight="1" x14ac:dyDescent="0.2">
      <c r="C59" s="56" t="s">
        <v>128</v>
      </c>
      <c r="D59" s="56"/>
      <c r="E59" s="56"/>
      <c r="F59" s="56">
        <f>F45*D45</f>
        <v>0</v>
      </c>
      <c r="G59" s="56">
        <f>G52+G42+G39+G33+G7</f>
        <v>2670127484.5625</v>
      </c>
      <c r="I59" s="137">
        <f>I52+I42+I39+I33+I7</f>
        <v>2728395720.79</v>
      </c>
      <c r="J59" s="33"/>
      <c r="K59" s="137">
        <f>(K52*$J$54)+(K45*$J$45)+(K46*$J$46)+(K47*$J$47)+(K49*$J$49)+(K50*$J$50)+(K51*$J$51)+K39+K33+K7</f>
        <v>0</v>
      </c>
      <c r="L59" s="137">
        <f t="shared" ref="L59:AI59" si="60">(L52*$J$54)+(L45*$J$45)+(L46*$J$46)+(L47*$J$47)+(L49*$J$49)+(L50*$J$50)+(L51*$J$51)+L39+L33+L7</f>
        <v>0</v>
      </c>
      <c r="M59" s="137">
        <f t="shared" si="60"/>
        <v>64463869</v>
      </c>
      <c r="N59" s="137">
        <f t="shared" si="60"/>
        <v>3097443</v>
      </c>
      <c r="O59" s="137">
        <f t="shared" si="60"/>
        <v>67561312</v>
      </c>
      <c r="P59" s="137">
        <f t="shared" si="60"/>
        <v>1850000</v>
      </c>
      <c r="Q59" s="137">
        <f t="shared" si="60"/>
        <v>35527948.419999994</v>
      </c>
      <c r="R59" s="137">
        <f t="shared" si="60"/>
        <v>0</v>
      </c>
      <c r="S59" s="137">
        <f t="shared" si="60"/>
        <v>76743633.879999995</v>
      </c>
      <c r="T59" s="137">
        <f t="shared" si="60"/>
        <v>114121582.29999998</v>
      </c>
      <c r="U59" s="137">
        <f t="shared" si="60"/>
        <v>0</v>
      </c>
      <c r="V59" s="137">
        <f t="shared" si="60"/>
        <v>499960577.9600001</v>
      </c>
      <c r="W59" s="137">
        <f t="shared" si="60"/>
        <v>0</v>
      </c>
      <c r="X59" s="137">
        <f t="shared" si="60"/>
        <v>444320015.90000004</v>
      </c>
      <c r="Y59" s="137">
        <f t="shared" si="60"/>
        <v>944280593.86000013</v>
      </c>
      <c r="Z59" s="137">
        <f t="shared" si="60"/>
        <v>0</v>
      </c>
      <c r="AA59" s="137">
        <f t="shared" si="60"/>
        <v>437404633.90000004</v>
      </c>
      <c r="AB59" s="137">
        <f t="shared" si="60"/>
        <v>1850000</v>
      </c>
      <c r="AC59" s="137">
        <f t="shared" si="60"/>
        <v>492620880.88000005</v>
      </c>
      <c r="AD59" s="137">
        <f t="shared" si="60"/>
        <v>931875514.78000009</v>
      </c>
      <c r="AE59" s="137">
        <f t="shared" si="60"/>
        <v>437404633.90000004</v>
      </c>
      <c r="AF59" s="137">
        <f t="shared" si="60"/>
        <v>0</v>
      </c>
      <c r="AG59" s="137">
        <f t="shared" si="60"/>
        <v>218702316.95000002</v>
      </c>
      <c r="AH59" s="137">
        <f t="shared" si="60"/>
        <v>14449767</v>
      </c>
      <c r="AI59" s="137">
        <f t="shared" si="60"/>
        <v>670556717.85000002</v>
      </c>
    </row>
    <row r="61" spans="2:36" ht="12" customHeight="1" x14ac:dyDescent="0.2">
      <c r="H61" s="451" t="s">
        <v>102</v>
      </c>
      <c r="I61" s="151">
        <f>I42</f>
        <v>243444435.63999999</v>
      </c>
      <c r="J61" s="151">
        <f>I42/D54</f>
        <v>459.3291238490566</v>
      </c>
    </row>
    <row r="62" spans="2:36" ht="12" customHeight="1" x14ac:dyDescent="0.2">
      <c r="H62" s="452"/>
      <c r="I62" s="122">
        <f t="shared" ref="I62:AI62" si="61">SUM(I63)</f>
        <v>243444435.63999999</v>
      </c>
      <c r="J62" s="122">
        <f t="shared" si="61"/>
        <v>459.3291238490566</v>
      </c>
      <c r="K62" s="146">
        <f t="shared" si="61"/>
        <v>0</v>
      </c>
      <c r="L62" s="146">
        <f t="shared" si="61"/>
        <v>0</v>
      </c>
      <c r="M62" s="146">
        <f t="shared" si="61"/>
        <v>0</v>
      </c>
      <c r="N62" s="146">
        <f t="shared" si="61"/>
        <v>0</v>
      </c>
      <c r="O62" s="146">
        <f t="shared" si="61"/>
        <v>0</v>
      </c>
      <c r="P62" s="146">
        <f t="shared" si="61"/>
        <v>0</v>
      </c>
      <c r="Q62" s="146">
        <f t="shared" si="61"/>
        <v>0</v>
      </c>
      <c r="R62" s="146">
        <f t="shared" si="61"/>
        <v>0</v>
      </c>
      <c r="S62" s="146">
        <f t="shared" si="61"/>
        <v>0</v>
      </c>
      <c r="T62" s="146">
        <f t="shared" si="61"/>
        <v>0</v>
      </c>
      <c r="U62" s="146">
        <f t="shared" si="61"/>
        <v>0</v>
      </c>
      <c r="V62" s="146">
        <f t="shared" si="61"/>
        <v>80000</v>
      </c>
      <c r="W62" s="146">
        <f t="shared" si="61"/>
        <v>0</v>
      </c>
      <c r="X62" s="146">
        <f t="shared" si="61"/>
        <v>100000</v>
      </c>
      <c r="Y62" s="146">
        <f t="shared" si="61"/>
        <v>0</v>
      </c>
      <c r="Z62" s="146">
        <f t="shared" si="61"/>
        <v>0</v>
      </c>
      <c r="AA62" s="146">
        <f t="shared" si="61"/>
        <v>100000</v>
      </c>
      <c r="AB62" s="146">
        <f t="shared" si="61"/>
        <v>0</v>
      </c>
      <c r="AC62" s="146">
        <f t="shared" si="61"/>
        <v>100000</v>
      </c>
      <c r="AD62" s="146">
        <f t="shared" si="61"/>
        <v>0</v>
      </c>
      <c r="AE62" s="146">
        <f t="shared" si="61"/>
        <v>100000</v>
      </c>
      <c r="AF62" s="146">
        <f t="shared" si="61"/>
        <v>0</v>
      </c>
      <c r="AG62" s="146">
        <f t="shared" si="61"/>
        <v>50000</v>
      </c>
      <c r="AH62" s="146">
        <f t="shared" si="61"/>
        <v>0</v>
      </c>
      <c r="AI62" s="146">
        <f t="shared" si="61"/>
        <v>0</v>
      </c>
    </row>
    <row r="63" spans="2:36" ht="12" customHeight="1" x14ac:dyDescent="0.2">
      <c r="H63" s="452"/>
      <c r="I63" s="123">
        <f t="shared" ref="I63:AI63" si="62">I64</f>
        <v>243444435.63999999</v>
      </c>
      <c r="J63" s="123">
        <f t="shared" si="62"/>
        <v>459.3291238490566</v>
      </c>
      <c r="K63" s="147">
        <f t="shared" si="62"/>
        <v>0</v>
      </c>
      <c r="L63" s="147">
        <f t="shared" si="62"/>
        <v>0</v>
      </c>
      <c r="M63" s="147">
        <f t="shared" si="62"/>
        <v>0</v>
      </c>
      <c r="N63" s="147">
        <f t="shared" si="62"/>
        <v>0</v>
      </c>
      <c r="O63" s="147">
        <f t="shared" si="62"/>
        <v>0</v>
      </c>
      <c r="P63" s="147">
        <f t="shared" si="62"/>
        <v>0</v>
      </c>
      <c r="Q63" s="147">
        <f t="shared" si="62"/>
        <v>0</v>
      </c>
      <c r="R63" s="147">
        <f t="shared" si="62"/>
        <v>0</v>
      </c>
      <c r="S63" s="147">
        <f t="shared" si="62"/>
        <v>0</v>
      </c>
      <c r="T63" s="147">
        <f t="shared" si="62"/>
        <v>0</v>
      </c>
      <c r="U63" s="147">
        <f t="shared" si="62"/>
        <v>0</v>
      </c>
      <c r="V63" s="147">
        <f t="shared" si="62"/>
        <v>80000</v>
      </c>
      <c r="W63" s="147">
        <f t="shared" si="62"/>
        <v>0</v>
      </c>
      <c r="X63" s="147">
        <f t="shared" si="62"/>
        <v>100000</v>
      </c>
      <c r="Y63" s="147">
        <f t="shared" si="62"/>
        <v>0</v>
      </c>
      <c r="Z63" s="147">
        <f t="shared" si="62"/>
        <v>0</v>
      </c>
      <c r="AA63" s="147">
        <f t="shared" si="62"/>
        <v>100000</v>
      </c>
      <c r="AB63" s="147">
        <f t="shared" si="62"/>
        <v>0</v>
      </c>
      <c r="AC63" s="147">
        <f t="shared" si="62"/>
        <v>100000</v>
      </c>
      <c r="AD63" s="147">
        <f t="shared" si="62"/>
        <v>0</v>
      </c>
      <c r="AE63" s="147">
        <f t="shared" si="62"/>
        <v>100000</v>
      </c>
      <c r="AF63" s="147">
        <f t="shared" si="62"/>
        <v>0</v>
      </c>
      <c r="AG63" s="147">
        <f t="shared" si="62"/>
        <v>50000</v>
      </c>
      <c r="AH63" s="147">
        <f t="shared" si="62"/>
        <v>0</v>
      </c>
      <c r="AI63" s="147">
        <f t="shared" si="62"/>
        <v>0</v>
      </c>
    </row>
    <row r="64" spans="2:36" ht="12" customHeight="1" x14ac:dyDescent="0.2">
      <c r="H64" s="452"/>
      <c r="I64" s="131">
        <f>SUM(K64:AI64)*J64</f>
        <v>243444435.63999999</v>
      </c>
      <c r="J64" s="131">
        <f>J61</f>
        <v>459.3291238490566</v>
      </c>
      <c r="K64" s="115"/>
      <c r="L64" s="125">
        <f>J64*K64</f>
        <v>0</v>
      </c>
      <c r="M64" s="116"/>
      <c r="N64" s="125"/>
      <c r="O64" s="116"/>
      <c r="P64" s="125">
        <f>O64*J64</f>
        <v>0</v>
      </c>
      <c r="Q64" s="116"/>
      <c r="R64" s="125"/>
      <c r="S64" s="125"/>
      <c r="T64" s="125"/>
      <c r="U64" s="125"/>
      <c r="V64" s="125">
        <v>80000</v>
      </c>
      <c r="W64" s="125"/>
      <c r="X64" s="125">
        <v>100000</v>
      </c>
      <c r="Y64" s="125"/>
      <c r="Z64" s="125"/>
      <c r="AA64" s="125">
        <v>100000</v>
      </c>
      <c r="AB64" s="125"/>
      <c r="AC64" s="125">
        <v>100000</v>
      </c>
      <c r="AD64" s="125"/>
      <c r="AE64" s="125">
        <v>100000</v>
      </c>
      <c r="AF64" s="125"/>
      <c r="AG64" s="125">
        <v>50000</v>
      </c>
      <c r="AH64" s="125"/>
      <c r="AI64" s="125"/>
    </row>
    <row r="65" spans="2:35" ht="12" customHeight="1" thickBot="1" x14ac:dyDescent="0.25"/>
    <row r="66" spans="2:35" ht="12" customHeight="1" x14ac:dyDescent="0.2">
      <c r="I66" s="84">
        <v>2902704000</v>
      </c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</row>
    <row r="68" spans="2:35" ht="12" customHeight="1" thickBot="1" x14ac:dyDescent="0.25">
      <c r="B68" t="s">
        <v>129</v>
      </c>
    </row>
    <row r="69" spans="2:35" ht="12" customHeight="1" x14ac:dyDescent="0.2">
      <c r="B69" s="112" t="s">
        <v>130</v>
      </c>
      <c r="C69" s="132">
        <v>3824.47</v>
      </c>
      <c r="I69" s="84" t="s">
        <v>131</v>
      </c>
    </row>
    <row r="70" spans="2:35" ht="12" customHeight="1" x14ac:dyDescent="0.2">
      <c r="B70" s="112" t="s">
        <v>132</v>
      </c>
      <c r="C70" s="133">
        <f>C69*6.42%</f>
        <v>245.53097399999996</v>
      </c>
      <c r="G70" s="111">
        <f>SUM(C70:C72)/C69</f>
        <v>0.13420000000000001</v>
      </c>
      <c r="I70" s="148">
        <f>I66-I59</f>
        <v>174308279.21000004</v>
      </c>
    </row>
    <row r="71" spans="2:35" ht="12" customHeight="1" x14ac:dyDescent="0.2">
      <c r="B71" s="112" t="s">
        <v>133</v>
      </c>
      <c r="C71" s="134">
        <f>C69*2%</f>
        <v>76.489400000000003</v>
      </c>
      <c r="I71" s="149">
        <f>I70/I66</f>
        <v>6.0050311437197884E-2</v>
      </c>
    </row>
    <row r="72" spans="2:35" ht="12" customHeight="1" x14ac:dyDescent="0.2">
      <c r="B72" s="112" t="s">
        <v>134</v>
      </c>
      <c r="C72" s="134">
        <f>C69*5%</f>
        <v>191.2235</v>
      </c>
    </row>
    <row r="73" spans="2:35" ht="12" customHeight="1" x14ac:dyDescent="0.2">
      <c r="B73" s="112" t="s">
        <v>135</v>
      </c>
      <c r="C73" s="134">
        <f>C72*19%</f>
        <v>36.332464999999999</v>
      </c>
    </row>
    <row r="74" spans="2:35" ht="12" customHeight="1" x14ac:dyDescent="0.2">
      <c r="B74" s="112" t="s">
        <v>136</v>
      </c>
      <c r="C74" s="135">
        <f>SUM(C69:C73)</f>
        <v>4374.0463390000004</v>
      </c>
      <c r="D74">
        <v>530000</v>
      </c>
      <c r="E74" s="296">
        <f>C74*D74</f>
        <v>2318244559.6700001</v>
      </c>
    </row>
    <row r="76" spans="2:35" ht="12" customHeight="1" x14ac:dyDescent="0.2">
      <c r="B76" s="112" t="s">
        <v>130</v>
      </c>
      <c r="C76" s="132">
        <v>3970.41</v>
      </c>
    </row>
    <row r="77" spans="2:35" ht="12" customHeight="1" x14ac:dyDescent="0.2">
      <c r="B77" s="112" t="s">
        <v>132</v>
      </c>
      <c r="C77" s="133">
        <v>254.9</v>
      </c>
    </row>
    <row r="78" spans="2:35" ht="12" customHeight="1" x14ac:dyDescent="0.2">
      <c r="B78" s="112" t="s">
        <v>133</v>
      </c>
      <c r="C78" s="134">
        <v>79.41</v>
      </c>
    </row>
    <row r="79" spans="2:35" ht="12" customHeight="1" x14ac:dyDescent="0.2">
      <c r="B79" s="112" t="s">
        <v>134</v>
      </c>
      <c r="C79" s="134">
        <v>198.52</v>
      </c>
    </row>
    <row r="80" spans="2:35" ht="12" customHeight="1" x14ac:dyDescent="0.2">
      <c r="B80" s="112" t="s">
        <v>135</v>
      </c>
      <c r="C80" s="134">
        <f>C79*19%</f>
        <v>37.718800000000002</v>
      </c>
    </row>
    <row r="81" spans="2:5" ht="12" customHeight="1" x14ac:dyDescent="0.2">
      <c r="B81" s="112" t="s">
        <v>136</v>
      </c>
      <c r="C81" s="135">
        <f>SUM(C76:C80)</f>
        <v>4540.9587999999994</v>
      </c>
      <c r="D81">
        <v>530000</v>
      </c>
      <c r="E81" s="33">
        <f>C81*D81</f>
        <v>2406708163.9999995</v>
      </c>
    </row>
    <row r="97" spans="10:31" ht="12" customHeight="1" x14ac:dyDescent="0.2">
      <c r="K97" s="3"/>
      <c r="L97" s="3" t="s">
        <v>137</v>
      </c>
      <c r="M97" s="3"/>
      <c r="N97" s="3"/>
      <c r="O97" s="3"/>
      <c r="P97" s="3" t="s">
        <v>138</v>
      </c>
      <c r="Q97" s="3"/>
      <c r="R97" s="3" t="s">
        <v>138</v>
      </c>
      <c r="U97" s="3" t="s">
        <v>138</v>
      </c>
      <c r="W97" s="3" t="s">
        <v>138</v>
      </c>
      <c r="Z97" s="3" t="s">
        <v>138</v>
      </c>
      <c r="AB97" s="3" t="s">
        <v>139</v>
      </c>
    </row>
    <row r="98" spans="10:31" ht="12" customHeight="1" x14ac:dyDescent="0.2">
      <c r="J98" s="33">
        <v>530000</v>
      </c>
      <c r="L98">
        <v>151169.520010059</v>
      </c>
      <c r="P98">
        <v>50000</v>
      </c>
      <c r="S98">
        <v>50000</v>
      </c>
      <c r="U98">
        <v>88000</v>
      </c>
      <c r="W98">
        <v>88000</v>
      </c>
      <c r="Z98">
        <v>88000</v>
      </c>
      <c r="AB98">
        <v>14830.48</v>
      </c>
      <c r="AE98">
        <v>64869261</v>
      </c>
    </row>
    <row r="99" spans="10:31" ht="12" customHeight="1" x14ac:dyDescent="0.2">
      <c r="J99">
        <f>J98*J54</f>
        <v>2318244559.6700001</v>
      </c>
      <c r="K99" s="3"/>
      <c r="L99" s="33">
        <f>L98*J54</f>
        <v>661222485.56838584</v>
      </c>
      <c r="P99" s="33">
        <f>P98*J54</f>
        <v>218702316.95000002</v>
      </c>
      <c r="S99" s="33">
        <f>S98*J54</f>
        <v>218702316.95000002</v>
      </c>
      <c r="U99" s="33">
        <f>U98*J54</f>
        <v>384916077.83200002</v>
      </c>
      <c r="W99" s="33">
        <f>W98*J54</f>
        <v>384916077.83200002</v>
      </c>
      <c r="Z99" s="33">
        <f>W99</f>
        <v>384916077.83200002</v>
      </c>
      <c r="AB99" s="33">
        <f>AB98*J54</f>
        <v>64869206.749612726</v>
      </c>
    </row>
    <row r="100" spans="10:31" ht="12" customHeight="1" x14ac:dyDescent="0.2">
      <c r="J100" s="33"/>
      <c r="L100" s="33"/>
    </row>
    <row r="101" spans="10:31" ht="12" customHeight="1" x14ac:dyDescent="0.2">
      <c r="J101" s="136"/>
    </row>
    <row r="102" spans="10:31" ht="12" customHeight="1" x14ac:dyDescent="0.2">
      <c r="J102" s="33"/>
      <c r="K102" s="34"/>
    </row>
  </sheetData>
  <mergeCells count="1">
    <mergeCell ref="H61:H64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3CD96-8F7E-4172-81EA-BA963E7CBF90}">
  <dimension ref="B2:O28"/>
  <sheetViews>
    <sheetView showGridLines="0" topLeftCell="A6" zoomScale="80" zoomScaleNormal="80" workbookViewId="0">
      <selection activeCell="G17" sqref="G17"/>
    </sheetView>
  </sheetViews>
  <sheetFormatPr baseColWidth="10" defaultColWidth="11.5" defaultRowHeight="15" x14ac:dyDescent="0.2"/>
  <cols>
    <col min="2" max="2" width="26.6640625" customWidth="1"/>
    <col min="3" max="3" width="21.6640625" customWidth="1"/>
    <col min="6" max="6" width="24.83203125" customWidth="1"/>
    <col min="9" max="9" width="14.1640625" bestFit="1" customWidth="1"/>
    <col min="11" max="11" width="17.33203125" customWidth="1"/>
    <col min="12" max="12" width="17.5" bestFit="1" customWidth="1"/>
    <col min="13" max="13" width="16.6640625" customWidth="1"/>
    <col min="14" max="14" width="18" customWidth="1"/>
    <col min="15" max="15" width="27.5" bestFit="1" customWidth="1"/>
  </cols>
  <sheetData>
    <row r="2" spans="2:9" ht="30" x14ac:dyDescent="0.2">
      <c r="B2" s="453" t="s">
        <v>140</v>
      </c>
      <c r="C2" s="454"/>
      <c r="D2" s="454"/>
      <c r="E2" s="454"/>
      <c r="F2" s="454"/>
      <c r="G2" s="454"/>
      <c r="H2" s="454"/>
      <c r="I2" s="454"/>
    </row>
    <row r="3" spans="2:9" x14ac:dyDescent="0.2">
      <c r="B3" s="2"/>
      <c r="D3" s="1"/>
      <c r="E3" s="1"/>
      <c r="F3" s="1"/>
      <c r="G3" s="1"/>
      <c r="H3" s="1"/>
    </row>
    <row r="4" spans="2:9" x14ac:dyDescent="0.2">
      <c r="B4" s="455" t="str">
        <f>+C6</f>
        <v>NORTON EDIFICIOS INDUSTRIALES COLOMBIA SAS</v>
      </c>
      <c r="C4" s="456"/>
      <c r="D4" s="456"/>
      <c r="E4" s="456"/>
      <c r="F4" s="456"/>
      <c r="G4" s="456"/>
      <c r="H4" s="456"/>
      <c r="I4" s="456"/>
    </row>
    <row r="5" spans="2:9" x14ac:dyDescent="0.2">
      <c r="B5" s="4"/>
      <c r="C5" s="5"/>
      <c r="D5" s="7"/>
      <c r="E5" s="7"/>
      <c r="F5" s="10"/>
      <c r="G5" s="10"/>
      <c r="H5" s="10"/>
      <c r="I5" s="238"/>
    </row>
    <row r="6" spans="2:9" x14ac:dyDescent="0.2">
      <c r="B6" s="11" t="s">
        <v>141</v>
      </c>
      <c r="C6" s="12" t="s">
        <v>142</v>
      </c>
      <c r="D6" s="14"/>
      <c r="E6" s="14"/>
      <c r="F6" s="10"/>
      <c r="G6" s="10"/>
      <c r="H6" s="10"/>
      <c r="I6" s="239"/>
    </row>
    <row r="7" spans="2:9" x14ac:dyDescent="0.2">
      <c r="B7" s="11" t="s">
        <v>143</v>
      </c>
      <c r="C7" s="12" t="s">
        <v>144</v>
      </c>
      <c r="D7" s="14"/>
      <c r="E7" s="14"/>
      <c r="F7" s="10"/>
      <c r="G7" s="10"/>
      <c r="H7" s="10"/>
      <c r="I7" s="239"/>
    </row>
    <row r="8" spans="2:9" x14ac:dyDescent="0.2">
      <c r="B8" s="11"/>
      <c r="C8" s="15"/>
      <c r="D8" s="8"/>
      <c r="E8" s="8"/>
      <c r="F8" s="10"/>
      <c r="G8" s="10"/>
      <c r="H8" s="10"/>
      <c r="I8" s="239"/>
    </row>
    <row r="9" spans="2:9" x14ac:dyDescent="0.2">
      <c r="B9" s="11" t="s">
        <v>145</v>
      </c>
      <c r="C9" s="12" t="s">
        <v>146</v>
      </c>
      <c r="D9" s="10"/>
      <c r="E9" s="10"/>
      <c r="F9" s="18" t="s">
        <v>147</v>
      </c>
      <c r="G9" s="19"/>
      <c r="H9" s="10"/>
      <c r="I9" s="240"/>
    </row>
    <row r="10" spans="2:9" x14ac:dyDescent="0.2">
      <c r="B10" s="11" t="s">
        <v>148</v>
      </c>
      <c r="C10" s="12" t="s">
        <v>149</v>
      </c>
      <c r="D10" s="10"/>
      <c r="E10" s="10"/>
      <c r="F10" s="18" t="s">
        <v>150</v>
      </c>
      <c r="G10" s="241">
        <f ca="1">TODAY()</f>
        <v>46275</v>
      </c>
      <c r="H10" s="10"/>
      <c r="I10" s="242"/>
    </row>
    <row r="11" spans="2:9" x14ac:dyDescent="0.2">
      <c r="B11" s="20"/>
      <c r="C11" s="21"/>
      <c r="D11" s="23"/>
      <c r="E11" s="23"/>
      <c r="F11" s="23"/>
      <c r="G11" s="23"/>
      <c r="H11" s="23"/>
      <c r="I11" s="243"/>
    </row>
    <row r="14" spans="2:9" x14ac:dyDescent="0.2">
      <c r="B14" s="457" t="s">
        <v>151</v>
      </c>
      <c r="C14" s="457"/>
      <c r="D14" s="457"/>
      <c r="F14" s="174">
        <v>2927325150</v>
      </c>
    </row>
    <row r="15" spans="2:9" x14ac:dyDescent="0.2">
      <c r="B15" s="244" t="s">
        <v>152</v>
      </c>
      <c r="C15" s="244" t="s">
        <v>153</v>
      </c>
      <c r="D15" s="244" t="s">
        <v>154</v>
      </c>
      <c r="F15" s="244" t="s">
        <v>155</v>
      </c>
      <c r="G15" s="244" t="s">
        <v>156</v>
      </c>
    </row>
    <row r="16" spans="2:9" x14ac:dyDescent="0.2">
      <c r="B16" s="112" t="s">
        <v>157</v>
      </c>
      <c r="C16" s="135">
        <f>'FLUJO DE CAJA PRESU'!D18+'FLUJO DE CAJA PRESU'!D30</f>
        <v>2670127485</v>
      </c>
      <c r="D16" s="246">
        <v>1</v>
      </c>
      <c r="F16" s="245">
        <f>C16/$F$14</f>
        <v>0.91213901708185718</v>
      </c>
      <c r="G16" s="246">
        <f>1-F16</f>
        <v>8.7860982918142816E-2</v>
      </c>
    </row>
    <row r="17" spans="2:15" x14ac:dyDescent="0.2">
      <c r="B17" s="112" t="s">
        <v>158</v>
      </c>
      <c r="C17" s="135">
        <f>'FLUJO DE CAJA PROYECTADO '!I66</f>
        <v>2791884020.2744503</v>
      </c>
      <c r="D17" s="245">
        <f>C17/C16</f>
        <v>1.0455995213556069</v>
      </c>
      <c r="E17" s="247"/>
      <c r="F17" s="245">
        <f>C17/$F$14</f>
        <v>0.95373211967056348</v>
      </c>
      <c r="G17" s="248">
        <f>1-F17</f>
        <v>4.6267880329436517E-2</v>
      </c>
      <c r="O17" s="298"/>
    </row>
    <row r="18" spans="2:15" x14ac:dyDescent="0.2">
      <c r="B18" s="244" t="s">
        <v>159</v>
      </c>
      <c r="C18" s="112"/>
      <c r="D18" s="246">
        <f>'CURVA S'!L21</f>
        <v>0.42502834911009268</v>
      </c>
      <c r="F18" s="250">
        <f>SUM('CURVA S'!I4:I37)</f>
        <v>2.4714020916556163</v>
      </c>
    </row>
    <row r="20" spans="2:15" x14ac:dyDescent="0.2">
      <c r="B20" s="112" t="s">
        <v>160</v>
      </c>
      <c r="C20" s="135">
        <f>'Control Flujo de caja'!V88</f>
        <v>1102160154.2179201</v>
      </c>
      <c r="D20" s="245">
        <f>C20/F14</f>
        <v>0.37650759575441084</v>
      </c>
      <c r="E20" s="247"/>
      <c r="F20" s="245">
        <f>C20/$F$14</f>
        <v>0.37650759575441084</v>
      </c>
      <c r="G20" s="248"/>
      <c r="I20" s="249"/>
    </row>
    <row r="21" spans="2:15" x14ac:dyDescent="0.2">
      <c r="B21" s="112" t="s">
        <v>161</v>
      </c>
      <c r="C21" s="135">
        <f>'Control Flujo de caja'!V90</f>
        <v>1149676252.4610603</v>
      </c>
      <c r="D21" s="149">
        <f>C21/C17</f>
        <v>0.41179226791378093</v>
      </c>
      <c r="F21" s="245">
        <f>C21/$F$14</f>
        <v>0.39273951254135886</v>
      </c>
      <c r="G21" s="248">
        <f>1-F21</f>
        <v>0.60726048745864114</v>
      </c>
    </row>
    <row r="22" spans="2:15" hidden="1" x14ac:dyDescent="0.2">
      <c r="B22" s="112" t="s">
        <v>162</v>
      </c>
      <c r="C22" s="346">
        <f>Contabilidad!D53</f>
        <v>62862623.259999998</v>
      </c>
      <c r="D22" s="305">
        <f>C22/C17</f>
        <v>2.2516201533980776E-2</v>
      </c>
      <c r="E22" s="299"/>
      <c r="F22" s="347">
        <f>C22/$F$14</f>
        <v>2.1474424615933081E-2</v>
      </c>
      <c r="G22" s="348">
        <f t="shared" ref="G22" si="0">1-F22</f>
        <v>0.97852557538406693</v>
      </c>
    </row>
    <row r="24" spans="2:15" x14ac:dyDescent="0.2">
      <c r="B24" s="356" t="s">
        <v>163</v>
      </c>
      <c r="C24" s="148">
        <f>F14*0.01</f>
        <v>29273251.5</v>
      </c>
    </row>
    <row r="25" spans="2:15" x14ac:dyDescent="0.2">
      <c r="B25" s="356" t="s">
        <v>164</v>
      </c>
      <c r="C25" s="135">
        <f>C20-C21</f>
        <v>-47516098.243140221</v>
      </c>
    </row>
    <row r="28" spans="2:15" x14ac:dyDescent="0.2">
      <c r="C28" s="351">
        <f>F14-C17</f>
        <v>135441129.7255497</v>
      </c>
    </row>
  </sheetData>
  <mergeCells count="3">
    <mergeCell ref="B2:I2"/>
    <mergeCell ref="B4:I4"/>
    <mergeCell ref="B14:D1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24540-E142-4608-AA39-0BAE2E974B34}">
  <sheetPr>
    <tabColor theme="9"/>
  </sheetPr>
  <dimension ref="B6:BH96"/>
  <sheetViews>
    <sheetView topLeftCell="A16" zoomScale="83" zoomScaleNormal="83" workbookViewId="0">
      <pane xSplit="3" ySplit="12" topLeftCell="Y28" activePane="bottomRight" state="frozen"/>
      <selection pane="topRight" activeCell="D16" sqref="D16"/>
      <selection pane="bottomLeft" activeCell="A28" sqref="A28"/>
      <selection pane="bottomRight" activeCell="V88" sqref="V88"/>
    </sheetView>
  </sheetViews>
  <sheetFormatPr baseColWidth="10" defaultColWidth="11.5" defaultRowHeight="14" customHeight="1" outlineLevelRow="4" x14ac:dyDescent="0.15"/>
  <cols>
    <col min="1" max="1" width="11.5" style="215"/>
    <col min="2" max="2" width="13.33203125" style="222" customWidth="1"/>
    <col min="3" max="3" width="46.5" style="216" customWidth="1"/>
    <col min="4" max="4" width="22.5" style="217" customWidth="1"/>
    <col min="5" max="5" width="20.6640625" style="218" bestFit="1" customWidth="1"/>
    <col min="6" max="6" width="20.6640625" style="214" customWidth="1"/>
    <col min="7" max="7" width="22.33203125" style="214" customWidth="1"/>
    <col min="8" max="8" width="20.6640625" style="215" customWidth="1"/>
    <col min="9" max="9" width="22.33203125" style="215" hidden="1" customWidth="1"/>
    <col min="10" max="13" width="1.1640625" style="215" hidden="1" customWidth="1"/>
    <col min="14" max="14" width="22.33203125" style="215" hidden="1" customWidth="1"/>
    <col min="15" max="16" width="22.33203125" style="215" customWidth="1"/>
    <col min="17" max="18" width="22.33203125" style="219" customWidth="1"/>
    <col min="19" max="21" width="22.33203125" style="214" customWidth="1"/>
    <col min="22" max="22" width="22.33203125" style="220" customWidth="1"/>
    <col min="23" max="23" width="37" style="220" customWidth="1"/>
    <col min="24" max="26" width="22.33203125" style="220" customWidth="1"/>
    <col min="27" max="41" width="22.33203125" style="214" customWidth="1"/>
    <col min="42" max="51" width="22.33203125" style="215" customWidth="1"/>
    <col min="52" max="52" width="21.5" style="215" customWidth="1"/>
    <col min="53" max="53" width="26.5" style="215" customWidth="1"/>
    <col min="54" max="54" width="20.6640625" style="215" customWidth="1"/>
    <col min="55" max="55" width="22.33203125" style="215" customWidth="1"/>
    <col min="56" max="56" width="16.33203125" style="215" customWidth="1"/>
    <col min="57" max="61" width="11.5" style="215"/>
    <col min="62" max="62" width="14.6640625" style="215" customWidth="1"/>
    <col min="63" max="63" width="16.33203125" style="215" customWidth="1"/>
    <col min="64" max="16384" width="11.5" style="215"/>
  </cols>
  <sheetData>
    <row r="6" spans="2:43" ht="14" customHeight="1" x14ac:dyDescent="0.15">
      <c r="B6" s="216"/>
      <c r="C6" s="215"/>
      <c r="Q6" s="215"/>
      <c r="R6" s="215"/>
      <c r="S6" s="215"/>
      <c r="T6" s="215"/>
      <c r="U6" s="215"/>
    </row>
    <row r="7" spans="2:43" ht="14" customHeight="1" x14ac:dyDescent="0.15">
      <c r="B7" s="455" t="str">
        <f>+C9</f>
        <v>NORTON EDIFICIOS INDUSTRIALES COLOMBIA SAS</v>
      </c>
      <c r="C7" s="456"/>
      <c r="D7" s="456"/>
      <c r="E7" s="456"/>
      <c r="F7" s="456"/>
      <c r="G7" s="456"/>
      <c r="H7" s="456"/>
      <c r="Q7" s="215"/>
      <c r="R7" s="215"/>
      <c r="S7" s="215"/>
      <c r="T7" s="215"/>
      <c r="U7" s="215"/>
      <c r="V7" s="215"/>
      <c r="W7" s="215"/>
      <c r="X7" s="215"/>
      <c r="Y7" s="215"/>
      <c r="Z7" s="215"/>
      <c r="AA7" s="215"/>
      <c r="AB7" s="215"/>
      <c r="AC7" s="215"/>
      <c r="AD7" s="215"/>
      <c r="AE7" s="215"/>
      <c r="AF7" s="215"/>
      <c r="AG7" s="215"/>
      <c r="AH7" s="215"/>
      <c r="AI7" s="215"/>
      <c r="AJ7" s="215"/>
      <c r="AK7" s="215"/>
      <c r="AL7" s="215"/>
    </row>
    <row r="8" spans="2:43" ht="14" customHeight="1" x14ac:dyDescent="0.15">
      <c r="B8" s="4"/>
      <c r="C8" s="5"/>
      <c r="D8" s="6"/>
      <c r="E8" s="158"/>
      <c r="F8" s="7"/>
      <c r="G8" s="8"/>
      <c r="H8" s="9"/>
      <c r="Q8" s="215"/>
      <c r="R8" s="215"/>
      <c r="S8" s="215"/>
      <c r="T8" s="215"/>
      <c r="U8" s="215"/>
      <c r="V8" s="215"/>
      <c r="W8" s="215"/>
      <c r="X8" s="215"/>
      <c r="Y8" s="215"/>
      <c r="Z8" s="215"/>
      <c r="AA8" s="215"/>
      <c r="AB8" s="215"/>
      <c r="AC8" s="215"/>
      <c r="AD8" s="215"/>
      <c r="AE8" s="215"/>
      <c r="AF8" s="215"/>
      <c r="AG8" s="215"/>
      <c r="AH8" s="215"/>
      <c r="AI8" s="215"/>
      <c r="AJ8" s="215"/>
      <c r="AK8" s="215"/>
      <c r="AL8" s="215"/>
    </row>
    <row r="9" spans="2:43" ht="14" customHeight="1" x14ac:dyDescent="0.15">
      <c r="B9" s="11" t="s">
        <v>141</v>
      </c>
      <c r="C9" s="12" t="s">
        <v>142</v>
      </c>
      <c r="D9" s="13"/>
      <c r="E9" s="159"/>
      <c r="F9" s="14"/>
      <c r="G9" s="14"/>
      <c r="H9" s="9"/>
      <c r="Q9" s="215"/>
      <c r="R9" s="215"/>
      <c r="S9" s="215"/>
      <c r="T9" s="215"/>
      <c r="U9" s="215"/>
      <c r="V9" s="215"/>
      <c r="W9" s="215"/>
      <c r="X9" s="215"/>
      <c r="Y9" s="215"/>
      <c r="Z9" s="215"/>
      <c r="AA9" s="215"/>
      <c r="AB9" s="215"/>
      <c r="AC9" s="215"/>
      <c r="AD9" s="215"/>
      <c r="AE9" s="215"/>
      <c r="AF9" s="215"/>
      <c r="AG9" s="215"/>
      <c r="AH9" s="215"/>
      <c r="AI9" s="215"/>
      <c r="AJ9" s="215"/>
      <c r="AK9" s="215"/>
      <c r="AL9" s="215"/>
    </row>
    <row r="10" spans="2:43" ht="14" customHeight="1" x14ac:dyDescent="0.15">
      <c r="B10" s="11" t="s">
        <v>143</v>
      </c>
      <c r="C10" s="12" t="s">
        <v>144</v>
      </c>
      <c r="D10" s="13"/>
      <c r="E10" s="159"/>
      <c r="F10" s="14"/>
      <c r="G10" s="14"/>
      <c r="H10" s="9"/>
      <c r="Q10" s="215"/>
      <c r="R10" s="215"/>
      <c r="S10" s="215"/>
      <c r="T10" s="215"/>
      <c r="U10" s="215"/>
      <c r="V10" s="215"/>
      <c r="W10" s="215"/>
      <c r="X10" s="215"/>
      <c r="Y10" s="215"/>
      <c r="Z10" s="215"/>
      <c r="AA10" s="215"/>
      <c r="AB10" s="215"/>
      <c r="AC10" s="215"/>
      <c r="AD10" s="215"/>
      <c r="AE10" s="215"/>
      <c r="AF10" s="215"/>
      <c r="AG10" s="215"/>
      <c r="AH10" s="215"/>
      <c r="AI10" s="215"/>
      <c r="AJ10" s="215"/>
      <c r="AK10" s="215"/>
      <c r="AL10" s="215"/>
    </row>
    <row r="11" spans="2:43" ht="14" customHeight="1" x14ac:dyDescent="0.15">
      <c r="B11" s="11"/>
      <c r="C11" s="15"/>
      <c r="D11" s="16"/>
      <c r="E11" s="160"/>
      <c r="F11" s="8"/>
      <c r="G11" s="8"/>
      <c r="H11" s="9"/>
      <c r="Q11" s="215"/>
      <c r="R11" s="215"/>
      <c r="S11" s="215"/>
      <c r="T11" s="215"/>
      <c r="U11" s="215"/>
      <c r="V11" s="215"/>
      <c r="W11" s="215"/>
      <c r="X11" s="215"/>
      <c r="Y11" s="215"/>
      <c r="Z11" s="215"/>
      <c r="AA11" s="215"/>
      <c r="AB11" s="215"/>
      <c r="AC11" s="215"/>
      <c r="AD11" s="215"/>
      <c r="AE11" s="215"/>
      <c r="AF11" s="215"/>
      <c r="AG11" s="215"/>
      <c r="AH11" s="215"/>
      <c r="AI11" s="215"/>
      <c r="AJ11" s="215"/>
      <c r="AK11" s="215"/>
      <c r="AL11" s="215"/>
    </row>
    <row r="12" spans="2:43" ht="14" customHeight="1" x14ac:dyDescent="0.15">
      <c r="B12" s="11" t="s">
        <v>145</v>
      </c>
      <c r="C12" s="12" t="s">
        <v>146</v>
      </c>
      <c r="D12" s="16"/>
      <c r="E12" s="17" t="s">
        <v>147</v>
      </c>
      <c r="F12" s="8"/>
      <c r="G12" s="8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  <c r="AL12" s="215"/>
    </row>
    <row r="13" spans="2:43" ht="14" customHeight="1" x14ac:dyDescent="0.15">
      <c r="B13" s="11" t="s">
        <v>148</v>
      </c>
      <c r="C13" s="12" t="s">
        <v>149</v>
      </c>
      <c r="D13" s="16"/>
      <c r="E13" s="17" t="s">
        <v>150</v>
      </c>
      <c r="F13" s="8"/>
      <c r="G13" s="8"/>
      <c r="Q13" s="215"/>
      <c r="R13" s="215"/>
      <c r="S13" s="215"/>
      <c r="T13" s="215"/>
      <c r="U13" s="215"/>
      <c r="V13" s="215"/>
      <c r="W13" s="215"/>
      <c r="X13" s="215"/>
      <c r="Y13" s="215"/>
      <c r="Z13" s="215"/>
      <c r="AA13" s="215"/>
      <c r="AB13" s="215"/>
      <c r="AC13" s="215"/>
      <c r="AD13" s="215"/>
      <c r="AE13" s="215"/>
      <c r="AF13" s="215"/>
      <c r="AG13" s="215"/>
      <c r="AH13" s="215"/>
      <c r="AI13" s="215"/>
      <c r="AJ13" s="215"/>
      <c r="AK13" s="215"/>
      <c r="AL13" s="215"/>
    </row>
    <row r="14" spans="2:43" ht="14" customHeight="1" x14ac:dyDescent="0.15">
      <c r="B14" s="20"/>
      <c r="C14" s="21"/>
      <c r="D14" s="22"/>
      <c r="E14" s="161"/>
      <c r="F14" s="23"/>
      <c r="G14" s="23"/>
      <c r="H14" s="24"/>
      <c r="Q14" s="215"/>
      <c r="R14" s="215"/>
      <c r="S14" s="215"/>
      <c r="T14" s="215"/>
      <c r="U14" s="215"/>
      <c r="V14" s="215"/>
      <c r="W14" s="215"/>
      <c r="X14" s="215"/>
      <c r="Y14" s="215"/>
      <c r="Z14" s="215"/>
      <c r="AA14" s="215"/>
      <c r="AB14" s="215"/>
      <c r="AC14" s="215"/>
      <c r="AD14" s="215"/>
      <c r="AE14" s="215"/>
      <c r="AF14" s="215"/>
      <c r="AG14" s="215"/>
      <c r="AH14" s="215"/>
      <c r="AI14" s="215"/>
      <c r="AJ14" s="215"/>
      <c r="AK14" s="215"/>
      <c r="AL14" s="215"/>
    </row>
    <row r="15" spans="2:43" ht="14" customHeight="1" x14ac:dyDescent="0.15">
      <c r="B15" s="216"/>
      <c r="C15" s="215"/>
      <c r="Q15" s="215"/>
      <c r="R15" s="215"/>
      <c r="S15" s="215"/>
      <c r="T15" s="215"/>
      <c r="U15" s="215"/>
    </row>
    <row r="16" spans="2:43" ht="14" customHeight="1" thickBot="1" x14ac:dyDescent="0.2">
      <c r="B16" s="216"/>
      <c r="C16" s="215"/>
      <c r="Q16" s="215"/>
      <c r="R16" s="215"/>
      <c r="S16" s="215"/>
      <c r="T16" s="215"/>
      <c r="U16" s="215"/>
      <c r="X16" s="233">
        <f>'FLUJO DE CAJA PROYECTADO '!O12</f>
        <v>14</v>
      </c>
      <c r="Y16" s="233">
        <f>REAL!O12</f>
        <v>14</v>
      </c>
      <c r="Z16" s="233"/>
      <c r="AA16" s="233">
        <f>'FLUJO DE CAJA PROYECTADO '!T12</f>
        <v>19</v>
      </c>
      <c r="AB16" s="233">
        <f>AA16</f>
        <v>19</v>
      </c>
      <c r="AC16" s="233">
        <v>2</v>
      </c>
      <c r="AD16" s="233">
        <f>'FLUJO DE CAJA PROYECTADO '!Y12</f>
        <v>24</v>
      </c>
      <c r="AE16" s="233">
        <f>AD16</f>
        <v>24</v>
      </c>
      <c r="AG16" s="233">
        <f>AD16+5</f>
        <v>29</v>
      </c>
      <c r="AH16" s="233">
        <f>AG16</f>
        <v>29</v>
      </c>
      <c r="AJ16" s="233">
        <f>AG16+5</f>
        <v>34</v>
      </c>
      <c r="AK16" s="233">
        <f>AJ16</f>
        <v>34</v>
      </c>
      <c r="AM16" s="233">
        <f>AJ16+5</f>
        <v>39</v>
      </c>
      <c r="AN16" s="233">
        <f>AM16</f>
        <v>39</v>
      </c>
      <c r="AP16" s="215">
        <v>44</v>
      </c>
      <c r="AQ16" s="215">
        <v>44</v>
      </c>
    </row>
    <row r="17" spans="2:60" ht="14" customHeight="1" x14ac:dyDescent="0.15">
      <c r="B17" s="216"/>
      <c r="C17" s="25" t="s">
        <v>165</v>
      </c>
      <c r="D17" s="26" t="s">
        <v>166</v>
      </c>
      <c r="E17" s="162" t="s">
        <v>167</v>
      </c>
      <c r="Q17" s="215"/>
      <c r="R17" s="215"/>
      <c r="S17" s="215"/>
      <c r="T17" s="215"/>
      <c r="U17" s="215"/>
      <c r="X17" s="464" t="s">
        <v>168</v>
      </c>
      <c r="Y17" s="465"/>
      <c r="Z17" s="466"/>
      <c r="AA17" s="458" t="s">
        <v>169</v>
      </c>
      <c r="AB17" s="459"/>
      <c r="AC17" s="460"/>
      <c r="AD17" s="464" t="s">
        <v>170</v>
      </c>
      <c r="AE17" s="465"/>
      <c r="AF17" s="466"/>
      <c r="AG17" s="458" t="s">
        <v>171</v>
      </c>
      <c r="AH17" s="459"/>
      <c r="AI17" s="460"/>
      <c r="AJ17" s="464" t="s">
        <v>172</v>
      </c>
      <c r="AK17" s="465"/>
      <c r="AL17" s="466"/>
      <c r="AM17" s="458" t="s">
        <v>173</v>
      </c>
      <c r="AN17" s="459"/>
      <c r="AO17" s="460"/>
      <c r="AP17" s="458" t="s">
        <v>330</v>
      </c>
      <c r="AQ17" s="459"/>
      <c r="AR17" s="460"/>
    </row>
    <row r="18" spans="2:60" ht="14" customHeight="1" x14ac:dyDescent="0.15">
      <c r="B18" s="216"/>
      <c r="D18" s="27"/>
      <c r="E18" s="163"/>
      <c r="T18" s="215"/>
      <c r="U18" s="215"/>
      <c r="X18" s="152" t="s">
        <v>158</v>
      </c>
      <c r="Y18" s="152" t="str">
        <f>"Real"&amp;Z17</f>
        <v>Real</v>
      </c>
      <c r="Z18" s="237" t="s">
        <v>174</v>
      </c>
      <c r="AA18" s="152" t="s">
        <v>158</v>
      </c>
      <c r="AB18" s="152" t="str">
        <f>"Real"&amp;AC17</f>
        <v>Real</v>
      </c>
      <c r="AC18" s="237" t="s">
        <v>174</v>
      </c>
      <c r="AD18" s="152" t="s">
        <v>158</v>
      </c>
      <c r="AE18" s="152" t="str">
        <f>"Real"&amp;AF17</f>
        <v>Real</v>
      </c>
      <c r="AF18" s="237" t="s">
        <v>174</v>
      </c>
      <c r="AG18" s="152" t="s">
        <v>158</v>
      </c>
      <c r="AH18" s="152" t="str">
        <f>"Real"&amp;AI17</f>
        <v>Real</v>
      </c>
      <c r="AI18" s="237" t="s">
        <v>174</v>
      </c>
      <c r="AJ18" s="152" t="s">
        <v>158</v>
      </c>
      <c r="AK18" s="152" t="str">
        <f>"Real"&amp;AL17</f>
        <v>Real</v>
      </c>
      <c r="AL18" s="237" t="s">
        <v>174</v>
      </c>
      <c r="AM18" s="152" t="s">
        <v>158</v>
      </c>
      <c r="AN18" s="152" t="str">
        <f>"Real"&amp;AO17</f>
        <v>Real</v>
      </c>
      <c r="AO18" s="237" t="s">
        <v>174</v>
      </c>
      <c r="AP18" s="152" t="s">
        <v>158</v>
      </c>
      <c r="AQ18" s="152" t="str">
        <f>"Real"&amp;AR17</f>
        <v>Real</v>
      </c>
      <c r="AR18" s="237" t="s">
        <v>174</v>
      </c>
    </row>
    <row r="19" spans="2:60" ht="14" customHeight="1" thickBot="1" x14ac:dyDescent="0.2">
      <c r="B19" s="216"/>
      <c r="C19" s="28"/>
      <c r="D19" s="28"/>
      <c r="E19" s="164"/>
      <c r="T19" s="215"/>
      <c r="U19" s="215"/>
      <c r="AA19" s="220"/>
      <c r="AB19" s="220"/>
      <c r="AC19" s="220"/>
      <c r="AD19" s="220"/>
      <c r="AE19" s="220">
        <f>AE76</f>
        <v>155151349.84523201</v>
      </c>
      <c r="AF19" s="220"/>
      <c r="AG19" s="220"/>
      <c r="AH19" s="220"/>
      <c r="AI19" s="220"/>
      <c r="AJ19" s="220"/>
      <c r="AK19" s="220"/>
      <c r="AL19" s="220"/>
      <c r="AM19" s="220"/>
      <c r="AN19" s="220"/>
      <c r="AO19" s="220"/>
      <c r="AP19" s="220"/>
      <c r="AQ19" s="220"/>
      <c r="AR19" s="220"/>
      <c r="AV19" s="220"/>
      <c r="AW19" s="220"/>
      <c r="AX19" s="220"/>
      <c r="AY19" s="220"/>
      <c r="AZ19" s="220"/>
    </row>
    <row r="20" spans="2:60" ht="14" customHeight="1" thickBot="1" x14ac:dyDescent="0.2">
      <c r="B20" s="216"/>
      <c r="C20" s="29" t="s">
        <v>175</v>
      </c>
      <c r="D20" s="30"/>
      <c r="E20" s="165"/>
      <c r="T20" s="215"/>
      <c r="U20" s="215"/>
      <c r="W20" s="29" t="s">
        <v>175</v>
      </c>
      <c r="X20" s="330"/>
      <c r="Y20" s="330"/>
      <c r="Z20" s="330"/>
      <c r="AA20" s="330"/>
      <c r="AB20" s="330"/>
      <c r="AC20" s="330"/>
      <c r="AD20" s="330"/>
      <c r="AE20" s="330"/>
      <c r="AF20" s="330"/>
      <c r="AG20" s="330"/>
      <c r="AH20" s="330"/>
      <c r="AI20" s="330"/>
      <c r="AJ20" s="330"/>
      <c r="AK20" s="330"/>
      <c r="AL20" s="330"/>
      <c r="AM20" s="330"/>
      <c r="AN20" s="330"/>
      <c r="AO20" s="330"/>
      <c r="AP20" s="330"/>
      <c r="AQ20" s="330"/>
      <c r="AR20" s="330"/>
      <c r="AV20" s="220"/>
      <c r="AW20" s="220"/>
      <c r="AX20" s="220"/>
    </row>
    <row r="21" spans="2:60" ht="14" customHeight="1" x14ac:dyDescent="0.15">
      <c r="B21" s="216"/>
      <c r="C21" s="29" t="s">
        <v>176</v>
      </c>
      <c r="D21" s="84">
        <v>2927325150</v>
      </c>
      <c r="E21" s="166"/>
      <c r="T21" s="215"/>
      <c r="U21" s="215"/>
      <c r="W21" s="29" t="s">
        <v>176</v>
      </c>
      <c r="X21" s="331"/>
      <c r="Y21" s="331"/>
      <c r="Z21" s="331"/>
      <c r="AA21" s="331">
        <f>HLOOKUP(AA16,'FLUJO DE CAJA PROYECTADO '!$I$5:$AN$8,4,FALSE)</f>
        <v>0</v>
      </c>
      <c r="AB21" s="331">
        <f>HLOOKUP(AB16,REAL!$H$5:$AN$8,4,FALSE)</f>
        <v>0</v>
      </c>
      <c r="AC21" s="331"/>
      <c r="AD21" s="331">
        <f>HLOOKUP(AD16,'FLUJO DE CAJA PROYECTADO '!$I$5:$AN$8,4,FALSE)</f>
        <v>301648696.86000001</v>
      </c>
      <c r="AE21" s="331">
        <f>HLOOKUP(AE16,REAL!$H$5:$AN$8,4,FALSE)</f>
        <v>301648696.86000001</v>
      </c>
      <c r="AF21" s="331"/>
      <c r="AG21" s="331">
        <f>HLOOKUP(AG16,'FLUJO DE CAJA PROYECTADO '!$I$5:$AN$8,4,FALSE)</f>
        <v>273271799.00999999</v>
      </c>
      <c r="AH21" s="331">
        <f>HLOOKUP(AH16,REAL!$H$5:$AN$8,4,FALSE)</f>
        <v>304405447.30092001</v>
      </c>
      <c r="AI21" s="331"/>
      <c r="AJ21" s="331">
        <f>HLOOKUP(AJ16,'FLUJO DE CAJA PROYECTADO '!$I$5:$AN$8,4,FALSE)</f>
        <v>994140000</v>
      </c>
      <c r="AK21" s="331">
        <f>HLOOKUP(AK16,REAL!$H$5:$AN$8,4,FALSE)</f>
        <v>323490168.05700004</v>
      </c>
      <c r="AL21" s="331"/>
      <c r="AM21" s="331">
        <f>HLOOKUP(AM16,'FLUJO DE CAJA PROYECTADO '!$I$5:$AN$8,4,FALSE)</f>
        <v>552300000</v>
      </c>
      <c r="AN21" s="331">
        <f>HLOOKUP(AN16,REAL!$H$5:$AN$8,4,FALSE)</f>
        <v>172615842</v>
      </c>
      <c r="AO21" s="331"/>
      <c r="AP21" s="331">
        <f>HLOOKUP(AP16,'FLUJO DE CAJA PROYECTADO '!$I$5:$AZ$8,4,FALSE)</f>
        <v>805833315</v>
      </c>
      <c r="AQ21" s="331">
        <f>HLOOKUP(AQ16,REAL!$H$5:$AZ$8,4,FALSE)</f>
        <v>0</v>
      </c>
      <c r="AR21" s="331"/>
      <c r="AV21" s="220"/>
      <c r="AW21" s="220"/>
      <c r="AX21" s="220"/>
    </row>
    <row r="22" spans="2:60" ht="14" customHeight="1" x14ac:dyDescent="0.15">
      <c r="B22" s="216"/>
      <c r="C22" s="31" t="s">
        <v>177</v>
      </c>
      <c r="D22" s="32"/>
      <c r="E22" s="166"/>
      <c r="T22" s="215"/>
      <c r="U22" s="215"/>
      <c r="W22" s="31" t="s">
        <v>177</v>
      </c>
      <c r="X22" s="330"/>
      <c r="Y22" s="330"/>
      <c r="Z22" s="330"/>
      <c r="AA22" s="330"/>
      <c r="AB22" s="330"/>
      <c r="AC22" s="330"/>
      <c r="AD22" s="330"/>
      <c r="AE22" s="330"/>
      <c r="AF22" s="330"/>
      <c r="AG22" s="330"/>
      <c r="AH22" s="330"/>
      <c r="AI22" s="330"/>
      <c r="AJ22" s="330"/>
      <c r="AK22" s="330"/>
      <c r="AL22" s="330"/>
      <c r="AM22" s="330"/>
      <c r="AN22" s="330"/>
      <c r="AO22" s="330"/>
      <c r="AP22" s="330"/>
      <c r="AQ22" s="330"/>
      <c r="AR22" s="330"/>
      <c r="AV22" s="220"/>
      <c r="AW22" s="220"/>
      <c r="AX22" s="220"/>
    </row>
    <row r="23" spans="2:60" ht="14" customHeight="1" x14ac:dyDescent="0.15">
      <c r="B23" s="216"/>
      <c r="C23" s="31" t="s">
        <v>178</v>
      </c>
      <c r="E23" s="167"/>
      <c r="T23" s="215"/>
      <c r="U23" s="215"/>
      <c r="W23" s="31" t="s">
        <v>178</v>
      </c>
      <c r="X23" s="331">
        <v>870811200</v>
      </c>
      <c r="Y23" s="331">
        <v>870811200</v>
      </c>
      <c r="Z23" s="330"/>
      <c r="AA23" s="330"/>
      <c r="AB23" s="330"/>
      <c r="AC23" s="330"/>
      <c r="AD23" s="330"/>
      <c r="AE23" s="330"/>
      <c r="AF23" s="330"/>
      <c r="AG23" s="330"/>
      <c r="AH23" s="330"/>
      <c r="AI23" s="330"/>
      <c r="AJ23" s="330"/>
      <c r="AK23" s="330"/>
      <c r="AL23" s="330"/>
      <c r="AM23" s="330"/>
      <c r="AN23" s="330"/>
      <c r="AO23" s="330"/>
      <c r="AP23" s="330"/>
      <c r="AQ23" s="330"/>
      <c r="AR23" s="330"/>
      <c r="AV23" s="220"/>
      <c r="AW23" s="220"/>
      <c r="AX23" s="220"/>
    </row>
    <row r="24" spans="2:60" ht="14" customHeight="1" x14ac:dyDescent="0.15">
      <c r="B24" s="215"/>
      <c r="C24" s="215"/>
      <c r="T24" s="215"/>
      <c r="U24" s="215"/>
      <c r="W24" s="329" t="s">
        <v>136</v>
      </c>
      <c r="X24" s="331">
        <f>X21+X23</f>
        <v>870811200</v>
      </c>
      <c r="Y24" s="331">
        <f t="shared" ref="Y24:AO24" si="0">Y21+Y23</f>
        <v>870811200</v>
      </c>
      <c r="Z24" s="331">
        <f t="shared" si="0"/>
        <v>0</v>
      </c>
      <c r="AA24" s="331">
        <f t="shared" si="0"/>
        <v>0</v>
      </c>
      <c r="AB24" s="331">
        <f t="shared" si="0"/>
        <v>0</v>
      </c>
      <c r="AC24" s="331">
        <f t="shared" si="0"/>
        <v>0</v>
      </c>
      <c r="AD24" s="331">
        <f t="shared" si="0"/>
        <v>301648696.86000001</v>
      </c>
      <c r="AE24" s="331">
        <f t="shared" si="0"/>
        <v>301648696.86000001</v>
      </c>
      <c r="AF24" s="331">
        <f t="shared" si="0"/>
        <v>0</v>
      </c>
      <c r="AG24" s="331">
        <f t="shared" si="0"/>
        <v>273271799.00999999</v>
      </c>
      <c r="AH24" s="331">
        <f t="shared" si="0"/>
        <v>304405447.30092001</v>
      </c>
      <c r="AI24" s="331">
        <f t="shared" si="0"/>
        <v>0</v>
      </c>
      <c r="AJ24" s="331">
        <f t="shared" si="0"/>
        <v>994140000</v>
      </c>
      <c r="AK24" s="331">
        <f t="shared" si="0"/>
        <v>323490168.05700004</v>
      </c>
      <c r="AL24" s="331">
        <f t="shared" si="0"/>
        <v>0</v>
      </c>
      <c r="AM24" s="331">
        <f t="shared" si="0"/>
        <v>552300000</v>
      </c>
      <c r="AN24" s="331">
        <f t="shared" si="0"/>
        <v>172615842</v>
      </c>
      <c r="AO24" s="331">
        <f t="shared" si="0"/>
        <v>0</v>
      </c>
      <c r="AP24" s="331">
        <f t="shared" ref="AP24:AR24" si="1">AP21+AP23</f>
        <v>805833315</v>
      </c>
      <c r="AQ24" s="331">
        <f t="shared" si="1"/>
        <v>0</v>
      </c>
      <c r="AR24" s="331">
        <f t="shared" si="1"/>
        <v>0</v>
      </c>
      <c r="AV24" s="220"/>
      <c r="AW24" s="220"/>
      <c r="AX24" s="220"/>
    </row>
    <row r="25" spans="2:60" ht="14" customHeight="1" thickBot="1" x14ac:dyDescent="0.2">
      <c r="X25" s="215"/>
      <c r="Y25" s="215"/>
      <c r="Z25" s="215"/>
      <c r="AA25" s="215"/>
      <c r="AB25" s="220"/>
      <c r="AC25" s="220"/>
      <c r="AD25" s="215"/>
      <c r="AE25" s="215"/>
      <c r="AF25" s="215"/>
      <c r="AG25" s="215"/>
      <c r="AH25" s="220"/>
      <c r="AI25" s="220"/>
      <c r="AJ25" s="215"/>
      <c r="AK25" s="215"/>
      <c r="AL25" s="215"/>
      <c r="AM25" s="215"/>
      <c r="AN25" s="220"/>
      <c r="AO25" s="220"/>
      <c r="AP25" s="220"/>
      <c r="AV25" s="220"/>
      <c r="AW25" s="220"/>
      <c r="AX25" s="220"/>
    </row>
    <row r="26" spans="2:60" ht="14" customHeight="1" thickBot="1" x14ac:dyDescent="0.2">
      <c r="B26" s="215"/>
      <c r="C26" s="215"/>
      <c r="D26" s="175" t="s">
        <v>157</v>
      </c>
      <c r="E26" s="469" t="s">
        <v>158</v>
      </c>
      <c r="F26" s="470"/>
      <c r="G26" s="471"/>
      <c r="J26" s="468" t="s">
        <v>179</v>
      </c>
      <c r="K26" s="468"/>
      <c r="L26" s="468"/>
      <c r="M26" s="214"/>
      <c r="P26" s="467" t="s">
        <v>180</v>
      </c>
      <c r="Q26" s="467"/>
      <c r="R26" s="467"/>
      <c r="U26" s="35" t="s">
        <v>181</v>
      </c>
      <c r="X26" s="464" t="s">
        <v>168</v>
      </c>
      <c r="Y26" s="465"/>
      <c r="Z26" s="466"/>
      <c r="AA26" s="458" t="s">
        <v>169</v>
      </c>
      <c r="AB26" s="459"/>
      <c r="AC26" s="460"/>
      <c r="AD26" s="464" t="s">
        <v>170</v>
      </c>
      <c r="AE26" s="465"/>
      <c r="AF26" s="466"/>
      <c r="AG26" s="458" t="s">
        <v>171</v>
      </c>
      <c r="AH26" s="459"/>
      <c r="AI26" s="460"/>
      <c r="AJ26" s="464" t="s">
        <v>172</v>
      </c>
      <c r="AK26" s="465"/>
      <c r="AL26" s="466"/>
      <c r="AM26" s="234" t="s">
        <v>173</v>
      </c>
      <c r="AN26" s="235"/>
      <c r="AO26" s="236"/>
      <c r="AP26" s="464" t="s">
        <v>309</v>
      </c>
      <c r="AQ26" s="465"/>
      <c r="AR26" s="466"/>
      <c r="AV26" s="220"/>
      <c r="AW26" s="220"/>
      <c r="AX26" s="220"/>
    </row>
    <row r="27" spans="2:60" ht="14" customHeight="1" x14ac:dyDescent="0.15">
      <c r="B27" s="36" t="s">
        <v>0</v>
      </c>
      <c r="C27" s="36" t="s">
        <v>1</v>
      </c>
      <c r="D27" s="38" t="s">
        <v>4</v>
      </c>
      <c r="E27" s="177" t="s">
        <v>182</v>
      </c>
      <c r="F27" s="39" t="s">
        <v>4</v>
      </c>
      <c r="G27" s="178" t="s">
        <v>183</v>
      </c>
      <c r="H27" s="203" t="s">
        <v>184</v>
      </c>
      <c r="J27" s="177" t="s">
        <v>182</v>
      </c>
      <c r="K27" s="39" t="s">
        <v>4</v>
      </c>
      <c r="L27" s="178" t="s">
        <v>183</v>
      </c>
      <c r="M27" s="203" t="s">
        <v>184</v>
      </c>
      <c r="P27" s="177" t="s">
        <v>182</v>
      </c>
      <c r="Q27" s="39" t="s">
        <v>4</v>
      </c>
      <c r="R27" s="178" t="s">
        <v>183</v>
      </c>
      <c r="S27" s="203" t="s">
        <v>184</v>
      </c>
      <c r="U27" s="40" t="s">
        <v>158</v>
      </c>
      <c r="V27" s="203" t="s">
        <v>184</v>
      </c>
      <c r="X27" s="40" t="s">
        <v>158</v>
      </c>
      <c r="Y27" s="40" t="str">
        <f>"Real"&amp;Z26</f>
        <v>Real</v>
      </c>
      <c r="Z27" s="203" t="s">
        <v>184</v>
      </c>
      <c r="AA27" s="40" t="s">
        <v>158</v>
      </c>
      <c r="AB27" s="40" t="str">
        <f>"Real"&amp;AC26</f>
        <v>Real</v>
      </c>
      <c r="AC27" s="203" t="s">
        <v>184</v>
      </c>
      <c r="AD27" s="40" t="s">
        <v>158</v>
      </c>
      <c r="AE27" s="40" t="str">
        <f>"Real"&amp;AF26</f>
        <v>Real</v>
      </c>
      <c r="AF27" s="203" t="s">
        <v>184</v>
      </c>
      <c r="AG27" s="40" t="s">
        <v>158</v>
      </c>
      <c r="AH27" s="40" t="str">
        <f>"Real"&amp;AI26</f>
        <v>Real</v>
      </c>
      <c r="AI27" s="203" t="s">
        <v>184</v>
      </c>
      <c r="AJ27" s="40" t="s">
        <v>158</v>
      </c>
      <c r="AK27" s="40" t="str">
        <f>"Real"&amp;AL26</f>
        <v>Real</v>
      </c>
      <c r="AL27" s="203" t="s">
        <v>184</v>
      </c>
      <c r="AM27" s="40" t="s">
        <v>158</v>
      </c>
      <c r="AN27" s="40" t="str">
        <f>"Real"&amp;AO26</f>
        <v>Real</v>
      </c>
      <c r="AO27" s="203" t="s">
        <v>184</v>
      </c>
      <c r="AP27" s="40" t="s">
        <v>158</v>
      </c>
      <c r="AQ27" s="40" t="str">
        <f>"Real"&amp;AR26</f>
        <v>Real</v>
      </c>
      <c r="AR27" s="203" t="s">
        <v>184</v>
      </c>
      <c r="AV27" s="220"/>
      <c r="AW27" s="220"/>
      <c r="AX27" s="220"/>
    </row>
    <row r="28" spans="2:60" s="214" customFormat="1" ht="14" customHeight="1" x14ac:dyDescent="0.15">
      <c r="B28" s="41">
        <v>1</v>
      </c>
      <c r="C28" s="122" t="s">
        <v>32</v>
      </c>
      <c r="D28" s="176">
        <f t="shared" ref="D28:E28" si="2">SUM(D29,D36,D40,D43,D53)</f>
        <v>150533984</v>
      </c>
      <c r="E28" s="179">
        <f t="shared" si="2"/>
        <v>31</v>
      </c>
      <c r="F28" s="122">
        <f t="shared" ref="F28:G28" si="3">SUM(F29,F36,F40,F43,F53)</f>
        <v>120426289</v>
      </c>
      <c r="G28" s="180">
        <f t="shared" si="3"/>
        <v>99465371</v>
      </c>
      <c r="H28" s="350">
        <f t="shared" ref="H28:H29" si="4">D28-G28</f>
        <v>51068613</v>
      </c>
      <c r="I28" s="215"/>
      <c r="J28" s="179">
        <f t="shared" ref="J28:M28" si="5">SUM(J29,J36,J40,J43,J53)</f>
        <v>31</v>
      </c>
      <c r="K28" s="180">
        <f t="shared" si="5"/>
        <v>120426289</v>
      </c>
      <c r="L28" s="180">
        <f t="shared" si="5"/>
        <v>66899755</v>
      </c>
      <c r="M28" s="202">
        <f t="shared" si="5"/>
        <v>15315616</v>
      </c>
      <c r="N28" s="215"/>
      <c r="O28" s="215"/>
      <c r="P28" s="179">
        <f t="shared" ref="P28:R28" si="6">SUM(P29,P36,P40,P43,P53)</f>
        <v>35</v>
      </c>
      <c r="Q28" s="180">
        <f t="shared" si="6"/>
        <v>123876289</v>
      </c>
      <c r="R28" s="180">
        <f t="shared" si="6"/>
        <v>88200771</v>
      </c>
      <c r="S28" s="350">
        <f t="shared" ref="S28:S77" si="7">G28-R28</f>
        <v>11264600</v>
      </c>
      <c r="U28" s="42" t="e">
        <f>SUM(#REF!,U29,U37,U43,#REF!,#REF!,#REF!,#REF!,#REF!,U46)</f>
        <v>#REF!</v>
      </c>
      <c r="V28" s="202">
        <f t="shared" ref="V28" si="8">SUM(V29,V36,V40,V43,V53)</f>
        <v>62987523.140000001</v>
      </c>
      <c r="W28" s="220"/>
      <c r="X28" s="180">
        <f t="shared" ref="X28:Z28" si="9">SUM(X29,X36,X40,X43,X53)</f>
        <v>67561312</v>
      </c>
      <c r="Y28" s="180">
        <f t="shared" si="9"/>
        <v>66899755</v>
      </c>
      <c r="Z28" s="202">
        <f t="shared" si="9"/>
        <v>661557</v>
      </c>
      <c r="AA28" s="180">
        <f t="shared" ref="AA28:AB28" si="10">SUM(AA29,AA36,AA40,AA43,AA53)</f>
        <v>10365382</v>
      </c>
      <c r="AB28" s="180">
        <f t="shared" si="10"/>
        <v>10362570</v>
      </c>
      <c r="AC28" s="202">
        <f t="shared" ref="AC28:AO28" si="11">SUM(AC29,AC36,AC40,AC43,AC53)</f>
        <v>2812</v>
      </c>
      <c r="AD28" s="180">
        <f t="shared" si="11"/>
        <v>10365382</v>
      </c>
      <c r="AE28" s="180">
        <f t="shared" si="11"/>
        <v>7315258</v>
      </c>
      <c r="AF28" s="202">
        <f t="shared" si="11"/>
        <v>3050124</v>
      </c>
      <c r="AG28" s="180">
        <f t="shared" si="11"/>
        <v>3450000</v>
      </c>
      <c r="AH28" s="180">
        <f t="shared" si="11"/>
        <v>3623188</v>
      </c>
      <c r="AI28" s="180">
        <f t="shared" si="11"/>
        <v>-173188</v>
      </c>
      <c r="AJ28" s="180">
        <f t="shared" si="11"/>
        <v>3450000</v>
      </c>
      <c r="AK28" s="180">
        <f t="shared" si="11"/>
        <v>0</v>
      </c>
      <c r="AL28" s="202">
        <f t="shared" si="11"/>
        <v>3450000</v>
      </c>
      <c r="AM28" s="180">
        <f t="shared" si="11"/>
        <v>4273295</v>
      </c>
      <c r="AN28" s="180">
        <f t="shared" si="11"/>
        <v>0</v>
      </c>
      <c r="AO28" s="202">
        <f t="shared" si="11"/>
        <v>4273295</v>
      </c>
      <c r="AP28" s="180">
        <f t="shared" ref="AP28:AR28" si="12">SUM(AP29,AP36,AP40,AP43,AP53)</f>
        <v>60108544.980000004</v>
      </c>
      <c r="AQ28" s="180">
        <f t="shared" si="12"/>
        <v>0</v>
      </c>
      <c r="AR28" s="202">
        <f t="shared" si="12"/>
        <v>60108544.980000004</v>
      </c>
      <c r="AS28" s="215"/>
      <c r="AT28" s="215"/>
      <c r="AU28" s="215"/>
      <c r="AV28" s="220"/>
      <c r="AW28" s="220"/>
      <c r="AX28" s="220"/>
      <c r="AY28" s="215"/>
      <c r="AZ28" s="215"/>
      <c r="BA28" s="215"/>
      <c r="BB28" s="215"/>
      <c r="BC28" s="215"/>
      <c r="BD28" s="215"/>
      <c r="BE28" s="215"/>
      <c r="BF28" s="215"/>
      <c r="BG28" s="215"/>
      <c r="BH28" s="215"/>
    </row>
    <row r="29" spans="2:60" ht="14" customHeight="1" outlineLevel="2" x14ac:dyDescent="0.15">
      <c r="B29" s="51" t="s">
        <v>33</v>
      </c>
      <c r="C29" s="52" t="s">
        <v>34</v>
      </c>
      <c r="D29" s="181">
        <v>18295782</v>
      </c>
      <c r="E29" s="182">
        <f t="shared" ref="E29:G29" si="13">SUM(E30:E35)</f>
        <v>6</v>
      </c>
      <c r="F29" s="183">
        <f t="shared" si="13"/>
        <v>5917366</v>
      </c>
      <c r="G29" s="184">
        <f t="shared" si="13"/>
        <v>5917366</v>
      </c>
      <c r="H29" s="199">
        <f t="shared" si="4"/>
        <v>12378416</v>
      </c>
      <c r="J29" s="182">
        <f t="shared" ref="J29:M29" si="14">SUM(J30:J35)</f>
        <v>6</v>
      </c>
      <c r="K29" s="183">
        <f t="shared" si="14"/>
        <v>5917366</v>
      </c>
      <c r="L29" s="184">
        <f t="shared" si="14"/>
        <v>5917366</v>
      </c>
      <c r="M29" s="198">
        <f t="shared" si="14"/>
        <v>0</v>
      </c>
      <c r="P29" s="182">
        <f t="shared" ref="P29:R29" si="15">SUM(P30:P35)</f>
        <v>6</v>
      </c>
      <c r="Q29" s="183">
        <f t="shared" si="15"/>
        <v>5917366</v>
      </c>
      <c r="R29" s="184">
        <f t="shared" si="15"/>
        <v>5917366</v>
      </c>
      <c r="S29" s="199">
        <f t="shared" si="7"/>
        <v>0</v>
      </c>
      <c r="U29" s="43">
        <f>VLOOKUP(B29,Contabilidad!$B$3:$D$51,3,FALSE)</f>
        <v>5917366.8600000003</v>
      </c>
      <c r="V29" s="198">
        <f t="shared" ref="V29" si="16">SUM(V30:V35)</f>
        <v>-0.86000000033527613</v>
      </c>
      <c r="X29" s="184">
        <f t="shared" ref="X29:Z29" si="17">SUM(X30:X35)</f>
        <v>5917366</v>
      </c>
      <c r="Y29" s="184">
        <f t="shared" si="17"/>
        <v>5917366</v>
      </c>
      <c r="Z29" s="198">
        <f t="shared" si="17"/>
        <v>0</v>
      </c>
      <c r="AA29" s="184">
        <f t="shared" ref="AA29:AB29" si="18">SUM(AA30:AA35)</f>
        <v>0</v>
      </c>
      <c r="AB29" s="184">
        <f t="shared" si="18"/>
        <v>0</v>
      </c>
      <c r="AC29" s="198">
        <f t="shared" ref="AC29:AO29" si="19">SUM(AC30:AC35)</f>
        <v>0</v>
      </c>
      <c r="AD29" s="184">
        <f t="shared" si="19"/>
        <v>0</v>
      </c>
      <c r="AE29" s="184">
        <f t="shared" si="19"/>
        <v>0</v>
      </c>
      <c r="AF29" s="198">
        <f t="shared" si="19"/>
        <v>0</v>
      </c>
      <c r="AG29" s="184">
        <f t="shared" si="19"/>
        <v>0</v>
      </c>
      <c r="AH29" s="184">
        <f t="shared" si="19"/>
        <v>0</v>
      </c>
      <c r="AI29" s="198">
        <f t="shared" si="19"/>
        <v>0</v>
      </c>
      <c r="AJ29" s="184">
        <f t="shared" si="19"/>
        <v>0</v>
      </c>
      <c r="AK29" s="184">
        <f t="shared" si="19"/>
        <v>0</v>
      </c>
      <c r="AL29" s="198">
        <f t="shared" si="19"/>
        <v>0</v>
      </c>
      <c r="AM29" s="184">
        <f t="shared" si="19"/>
        <v>0</v>
      </c>
      <c r="AN29" s="184">
        <f t="shared" si="19"/>
        <v>0</v>
      </c>
      <c r="AO29" s="198">
        <f t="shared" si="19"/>
        <v>0</v>
      </c>
      <c r="AP29" s="184">
        <f t="shared" ref="AP29:AR29" si="20">SUM(AP30:AP35)</f>
        <v>7534385</v>
      </c>
      <c r="AQ29" s="184">
        <f t="shared" si="20"/>
        <v>0</v>
      </c>
      <c r="AR29" s="198">
        <f t="shared" si="20"/>
        <v>7534385</v>
      </c>
      <c r="AV29" s="220"/>
      <c r="AW29" s="220"/>
      <c r="AX29" s="220"/>
    </row>
    <row r="30" spans="2:60" ht="14" customHeight="1" outlineLevel="3" x14ac:dyDescent="0.15">
      <c r="B30" s="47" t="s">
        <v>35</v>
      </c>
      <c r="C30" s="223" t="s">
        <v>36</v>
      </c>
      <c r="D30" s="224"/>
      <c r="E30" s="185">
        <f>VLOOKUP(B30,'FLUJO DE CAJA PROYECTADO '!$B$13:$J$61,3,FALSE)</f>
        <v>1</v>
      </c>
      <c r="F30" s="186">
        <f>VLOOKUP(B30,'FLUJO DE CAJA PROYECTADO '!$B$13:$J$61,9,FALSE)</f>
        <v>516713.12</v>
      </c>
      <c r="G30" s="187">
        <f>VLOOKUP(B30,'FLUJO DE CAJA PROYECTADO '!$B$13:$J$61,8,FALSE)</f>
        <v>516713.12</v>
      </c>
      <c r="H30" s="199">
        <f>D30-G30</f>
        <v>-516713.12</v>
      </c>
      <c r="J30" s="185">
        <f>VLOOKUP($B30,ASEGURADO!$B$3:$J$51,3,FALSE)</f>
        <v>1</v>
      </c>
      <c r="K30" s="186">
        <f>VLOOKUP(B30,ASEGURADO!$B$3:$J$52,9,FALSE)</f>
        <v>516713.12</v>
      </c>
      <c r="L30" s="187">
        <f>VLOOKUP($B30,ASEGURADO!$B$3:$J$52,8,FALSE)</f>
        <v>516713.12</v>
      </c>
      <c r="M30" s="199">
        <f>G30-L30</f>
        <v>0</v>
      </c>
      <c r="P30" s="185">
        <f>VLOOKUP(B30,REAL!$B$13:$J$61,3,FALSE)</f>
        <v>1</v>
      </c>
      <c r="Q30" s="186">
        <f>VLOOKUP(B30,REAL!$B$13:$J$61,9,FALSE)</f>
        <v>516713.12</v>
      </c>
      <c r="R30" s="187">
        <f>VLOOKUP(B30,REAL!$B$13:$J$61,8,FALSE)</f>
        <v>516713.12</v>
      </c>
      <c r="S30" s="199">
        <f t="shared" si="7"/>
        <v>0</v>
      </c>
      <c r="U30" s="43">
        <f>VLOOKUP(B30,Contabilidad!$B$3:$D$51,3,FALSE)</f>
        <v>0</v>
      </c>
      <c r="V30" s="199">
        <f>R30-U30</f>
        <v>516713.12</v>
      </c>
      <c r="X30" s="187">
        <f>VLOOKUP($B30,'FLUJO DE CAJA PROYECTADO '!$B$13:$AI$66,'Control Flujo de caja'!X$16,FALSE)</f>
        <v>516713.12</v>
      </c>
      <c r="Y30" s="187">
        <f>VLOOKUP($B30,REAL!$B$13:$AI$61,'Control Flujo de caja'!Y$16,FALSE)</f>
        <v>516713.12</v>
      </c>
      <c r="Z30" s="199">
        <f>X30-Y30</f>
        <v>0</v>
      </c>
      <c r="AA30" s="187">
        <f>VLOOKUP($B30,'FLUJO DE CAJA PROYECTADO '!$B$13:$AI$66,'Control Flujo de caja'!AA$16,FALSE)</f>
        <v>0</v>
      </c>
      <c r="AB30" s="187">
        <f>VLOOKUP($B30,REAL!$B$13:$AI$61,'Control Flujo de caja'!AB$16,FALSE)</f>
        <v>0</v>
      </c>
      <c r="AC30" s="199">
        <f>AA30-AB30</f>
        <v>0</v>
      </c>
      <c r="AD30" s="187">
        <f>VLOOKUP($B30,'FLUJO DE CAJA PROYECTADO '!$B$13:$AI$66,'Control Flujo de caja'!AD$16,FALSE)</f>
        <v>0</v>
      </c>
      <c r="AE30" s="187">
        <f>VLOOKUP($B30,REAL!$B$13:$AI$61,'Control Flujo de caja'!AE$16,FALSE)</f>
        <v>0</v>
      </c>
      <c r="AF30" s="199">
        <f>AD30-AE30</f>
        <v>0</v>
      </c>
      <c r="AG30" s="187">
        <f>VLOOKUP($B30,'FLUJO DE CAJA PROYECTADO '!$B$13:$AI$66,'Control Flujo de caja'!AG$16,FALSE)</f>
        <v>0</v>
      </c>
      <c r="AH30" s="187">
        <f>VLOOKUP($B30,REAL!$B$13:$AI$61,'Control Flujo de caja'!AH$16,FALSE)</f>
        <v>0</v>
      </c>
      <c r="AI30" s="199">
        <f>AG30-AH30</f>
        <v>0</v>
      </c>
      <c r="AJ30" s="187">
        <f>VLOOKUP($B30,'FLUJO DE CAJA PROYECTADO '!$B$13:$AI$66,'Control Flujo de caja'!AJ$16,FALSE)</f>
        <v>0</v>
      </c>
      <c r="AK30" s="187">
        <f>VLOOKUP($B30,REAL!$B$13:$AI$61,'Control Flujo de caja'!AK$16,FALSE)</f>
        <v>0</v>
      </c>
      <c r="AL30" s="199">
        <f>AJ30-AK30</f>
        <v>0</v>
      </c>
      <c r="AM30" s="187">
        <f>VLOOKUP($B30,'FLUJO DE CAJA PROYECTADO '!$B$13:$AN$66,'Control Flujo de caja'!AM$16,FALSE)</f>
        <v>0</v>
      </c>
      <c r="AN30" s="187">
        <f>VLOOKUP($B30,REAL!$B$13:$AN$61,'Control Flujo de caja'!AN$16,FALSE)</f>
        <v>0</v>
      </c>
      <c r="AO30" s="199">
        <f>AM30-AN30</f>
        <v>0</v>
      </c>
      <c r="AP30" s="187">
        <f>VLOOKUP($B30,'FLUJO DE CAJA PROYECTADO '!$B$13:$AS$66,'Control Flujo de caja'!AP$16,FALSE)</f>
        <v>1328123</v>
      </c>
      <c r="AQ30" s="187">
        <f>VLOOKUP($B30,REAL!$B$13:$AS$61,'Control Flujo de caja'!AQ$16,FALSE)</f>
        <v>0</v>
      </c>
      <c r="AR30" s="199">
        <f>AP30-AQ30</f>
        <v>1328123</v>
      </c>
      <c r="AV30" s="220"/>
      <c r="AW30" s="220"/>
      <c r="AX30" s="220"/>
    </row>
    <row r="31" spans="2:60" ht="14" customHeight="1" outlineLevel="4" x14ac:dyDescent="0.15">
      <c r="B31" s="47" t="s">
        <v>38</v>
      </c>
      <c r="C31" s="223" t="s">
        <v>39</v>
      </c>
      <c r="D31" s="224"/>
      <c r="E31" s="185">
        <f>VLOOKUP(B31,'FLUJO DE CAJA PROYECTADO '!$B$13:$J$61,3,FALSE)</f>
        <v>1</v>
      </c>
      <c r="F31" s="186">
        <f>VLOOKUP(B31,'FLUJO DE CAJA PROYECTADO '!$B$13:$J$61,9,FALSE)</f>
        <v>465741.43</v>
      </c>
      <c r="G31" s="187">
        <f>VLOOKUP(B31,'FLUJO DE CAJA PROYECTADO '!$B$13:$J$61,8,FALSE)</f>
        <v>465741.43</v>
      </c>
      <c r="H31" s="199">
        <f t="shared" ref="H31:H77" si="21">D31-G31</f>
        <v>-465741.43</v>
      </c>
      <c r="J31" s="185">
        <f>VLOOKUP($B31,ASEGURADO!$B$3:$J$51,3,FALSE)</f>
        <v>1</v>
      </c>
      <c r="K31" s="186">
        <f>VLOOKUP(B31,ASEGURADO!$B$3:$J$52,9,FALSE)</f>
        <v>465741.43</v>
      </c>
      <c r="L31" s="187">
        <f>VLOOKUP($B31,ASEGURADO!$B$3:$J$52,8,FALSE)</f>
        <v>465741.43</v>
      </c>
      <c r="M31" s="199">
        <f t="shared" ref="M31:M35" si="22">G31-L31</f>
        <v>0</v>
      </c>
      <c r="P31" s="185">
        <f>VLOOKUP(B31,REAL!$B$13:$J$61,3,FALSE)</f>
        <v>1</v>
      </c>
      <c r="Q31" s="186">
        <f>VLOOKUP(B31,REAL!$B$13:$J$61,9,FALSE)</f>
        <v>465741.43</v>
      </c>
      <c r="R31" s="187">
        <f>VLOOKUP(B31,REAL!$B$13:$J$61,8,FALSE)</f>
        <v>465741.43</v>
      </c>
      <c r="S31" s="199">
        <f t="shared" si="7"/>
        <v>0</v>
      </c>
      <c r="U31" s="43">
        <f>VLOOKUP(B31,Contabilidad!$B$3:$D$51,3,FALSE)</f>
        <v>5917366.8600000003</v>
      </c>
      <c r="V31" s="199">
        <f t="shared" ref="V31:V35" si="23">R31-U31</f>
        <v>-5451625.4300000006</v>
      </c>
      <c r="X31" s="187">
        <f>VLOOKUP($B31,'FLUJO DE CAJA PROYECTADO '!$B$13:$AI$66,'Control Flujo de caja'!X$16,FALSE)</f>
        <v>465741.43</v>
      </c>
      <c r="Y31" s="187">
        <f>VLOOKUP($B31,REAL!$B$13:$AI$61,'Control Flujo de caja'!Y$16,FALSE)</f>
        <v>465741.43</v>
      </c>
      <c r="Z31" s="199">
        <f t="shared" ref="Z31:Z54" si="24">X31-Y31</f>
        <v>0</v>
      </c>
      <c r="AA31" s="187">
        <f>VLOOKUP($B31,'FLUJO DE CAJA PROYECTADO '!$B$13:$AI$66,'Control Flujo de caja'!AA$16,FALSE)</f>
        <v>0</v>
      </c>
      <c r="AB31" s="187">
        <f>VLOOKUP($B31,REAL!$B$13:$AI$61,'Control Flujo de caja'!AB$16,FALSE)</f>
        <v>0</v>
      </c>
      <c r="AC31" s="199">
        <f t="shared" ref="AC31:AC35" si="25">AA31-AB31</f>
        <v>0</v>
      </c>
      <c r="AD31" s="187">
        <f>VLOOKUP($B31,'FLUJO DE CAJA PROYECTADO '!$B$13:$AI$66,'Control Flujo de caja'!AD$16,FALSE)</f>
        <v>0</v>
      </c>
      <c r="AE31" s="187">
        <f>VLOOKUP($B31,REAL!$B$13:$AI$61,'Control Flujo de caja'!AE$16,FALSE)</f>
        <v>0</v>
      </c>
      <c r="AF31" s="199">
        <f t="shared" ref="AF31:AF35" si="26">AD31-AE31</f>
        <v>0</v>
      </c>
      <c r="AG31" s="187">
        <f>VLOOKUP($B31,'FLUJO DE CAJA PROYECTADO '!$B$13:$AI$66,'Control Flujo de caja'!AG$16,FALSE)</f>
        <v>0</v>
      </c>
      <c r="AH31" s="187">
        <f>VLOOKUP($B31,REAL!$B$13:$AI$61,'Control Flujo de caja'!AH$16,FALSE)</f>
        <v>0</v>
      </c>
      <c r="AI31" s="199">
        <f t="shared" ref="AI31:AI35" si="27">AG31-AH31</f>
        <v>0</v>
      </c>
      <c r="AJ31" s="187">
        <f>VLOOKUP($B31,'FLUJO DE CAJA PROYECTADO '!$B$13:$AI$66,'Control Flujo de caja'!AJ$16,FALSE)</f>
        <v>0</v>
      </c>
      <c r="AK31" s="187">
        <f>VLOOKUP($B31,REAL!$B$13:$AI$61,'Control Flujo de caja'!AK$16,FALSE)</f>
        <v>0</v>
      </c>
      <c r="AL31" s="199">
        <f t="shared" ref="AL31:AL35" si="28">AJ31-AK31</f>
        <v>0</v>
      </c>
      <c r="AM31" s="187">
        <f>VLOOKUP($B31,'FLUJO DE CAJA PROYECTADO '!$B$13:$AN$66,'Control Flujo de caja'!AM$16,FALSE)</f>
        <v>0</v>
      </c>
      <c r="AN31" s="187">
        <f>VLOOKUP($B31,REAL!$B$13:$AN$61,'Control Flujo de caja'!AN$16,FALSE)</f>
        <v>0</v>
      </c>
      <c r="AO31" s="199">
        <f t="shared" ref="AO31:AO35" si="29">AM31-AN31</f>
        <v>0</v>
      </c>
      <c r="AP31" s="187">
        <f>VLOOKUP($B31,'FLUJO DE CAJA PROYECTADO '!$B$13:$AS$66,'Control Flujo de caja'!AP$16,FALSE)</f>
        <v>444632</v>
      </c>
      <c r="AQ31" s="187">
        <f>VLOOKUP($B31,REAL!$B$13:$AS$61,'Control Flujo de caja'!AQ$16,FALSE)</f>
        <v>0</v>
      </c>
      <c r="AR31" s="199">
        <f t="shared" ref="AR31:AR35" si="30">AP31-AQ31</f>
        <v>444632</v>
      </c>
      <c r="AV31" s="220"/>
      <c r="AW31" s="220"/>
      <c r="AX31" s="220"/>
    </row>
    <row r="32" spans="2:60" ht="14" customHeight="1" outlineLevel="4" x14ac:dyDescent="0.15">
      <c r="B32" s="47" t="s">
        <v>40</v>
      </c>
      <c r="C32" s="223" t="s">
        <v>41</v>
      </c>
      <c r="D32" s="224"/>
      <c r="E32" s="185">
        <f>VLOOKUP(B32,'FLUJO DE CAJA PROYECTADO '!$B$13:$J$61,3,FALSE)</f>
        <v>1</v>
      </c>
      <c r="F32" s="186">
        <f>VLOOKUP(B32,'FLUJO DE CAJA PROYECTADO '!$B$13:$J$61,9,FALSE)</f>
        <v>349306.07</v>
      </c>
      <c r="G32" s="187">
        <f>VLOOKUP(B32,'FLUJO DE CAJA PROYECTADO '!$B$13:$J$61,8,FALSE)</f>
        <v>349306.07</v>
      </c>
      <c r="H32" s="199">
        <f t="shared" si="21"/>
        <v>-349306.07</v>
      </c>
      <c r="J32" s="185">
        <f>VLOOKUP($B32,ASEGURADO!$B$3:$J$51,3,FALSE)</f>
        <v>1</v>
      </c>
      <c r="K32" s="186">
        <f>VLOOKUP(B32,ASEGURADO!$B$3:$J$52,9,FALSE)</f>
        <v>349306.07</v>
      </c>
      <c r="L32" s="187">
        <f>VLOOKUP($B32,ASEGURADO!$B$3:$J$52,8,FALSE)</f>
        <v>349306.07</v>
      </c>
      <c r="M32" s="199">
        <f t="shared" si="22"/>
        <v>0</v>
      </c>
      <c r="P32" s="185">
        <f>VLOOKUP(B32,REAL!$B$13:$J$61,3,FALSE)</f>
        <v>1</v>
      </c>
      <c r="Q32" s="186">
        <f>VLOOKUP(B32,REAL!$B$13:$J$61,9,FALSE)</f>
        <v>349306.07</v>
      </c>
      <c r="R32" s="187">
        <f>VLOOKUP(B32,REAL!$B$13:$J$61,8,FALSE)</f>
        <v>349306.07</v>
      </c>
      <c r="S32" s="199">
        <f t="shared" si="7"/>
        <v>0</v>
      </c>
      <c r="U32" s="43">
        <f>VLOOKUP(B32,Contabilidad!$B$3:$D$51,3,FALSE)</f>
        <v>0</v>
      </c>
      <c r="V32" s="199">
        <f t="shared" si="23"/>
        <v>349306.07</v>
      </c>
      <c r="X32" s="187">
        <f>VLOOKUP($B32,'FLUJO DE CAJA PROYECTADO '!$B$13:$AI$66,'Control Flujo de caja'!X$16,FALSE)</f>
        <v>349306.07</v>
      </c>
      <c r="Y32" s="187">
        <f>VLOOKUP($B32,REAL!$B$13:$AI$61,'Control Flujo de caja'!Y$16,FALSE)</f>
        <v>349306.07</v>
      </c>
      <c r="Z32" s="199">
        <f t="shared" si="24"/>
        <v>0</v>
      </c>
      <c r="AA32" s="187">
        <f>VLOOKUP($B32,'FLUJO DE CAJA PROYECTADO '!$B$13:$AI$66,'Control Flujo de caja'!AA$16,FALSE)</f>
        <v>0</v>
      </c>
      <c r="AB32" s="187">
        <f>VLOOKUP($B32,REAL!$B$13:$AI$61,'Control Flujo de caja'!AB$16,FALSE)</f>
        <v>0</v>
      </c>
      <c r="AC32" s="199">
        <f t="shared" si="25"/>
        <v>0</v>
      </c>
      <c r="AD32" s="187">
        <f>VLOOKUP($B32,'FLUJO DE CAJA PROYECTADO '!$B$13:$AI$66,'Control Flujo de caja'!AD$16,FALSE)</f>
        <v>0</v>
      </c>
      <c r="AE32" s="187">
        <f>VLOOKUP($B32,REAL!$B$13:$AI$61,'Control Flujo de caja'!AE$16,FALSE)</f>
        <v>0</v>
      </c>
      <c r="AF32" s="199">
        <f t="shared" si="26"/>
        <v>0</v>
      </c>
      <c r="AG32" s="187">
        <f>VLOOKUP($B32,'FLUJO DE CAJA PROYECTADO '!$B$13:$AI$66,'Control Flujo de caja'!AG$16,FALSE)</f>
        <v>0</v>
      </c>
      <c r="AH32" s="187">
        <f>VLOOKUP($B32,REAL!$B$13:$AI$61,'Control Flujo de caja'!AH$16,FALSE)</f>
        <v>0</v>
      </c>
      <c r="AI32" s="199">
        <f t="shared" si="27"/>
        <v>0</v>
      </c>
      <c r="AJ32" s="187">
        <f>VLOOKUP($B32,'FLUJO DE CAJA PROYECTADO '!$B$13:$AI$66,'Control Flujo de caja'!AJ$16,FALSE)</f>
        <v>0</v>
      </c>
      <c r="AK32" s="187">
        <f>VLOOKUP($B32,REAL!$B$13:$AI$61,'Control Flujo de caja'!AK$16,FALSE)</f>
        <v>0</v>
      </c>
      <c r="AL32" s="199">
        <f t="shared" si="28"/>
        <v>0</v>
      </c>
      <c r="AM32" s="187">
        <f>VLOOKUP($B32,'FLUJO DE CAJA PROYECTADO '!$B$13:$AN$66,'Control Flujo de caja'!AM$16,FALSE)</f>
        <v>0</v>
      </c>
      <c r="AN32" s="187">
        <f>VLOOKUP($B32,REAL!$B$13:$AN$61,'Control Flujo de caja'!AN$16,FALSE)</f>
        <v>0</v>
      </c>
      <c r="AO32" s="199">
        <f t="shared" si="29"/>
        <v>0</v>
      </c>
      <c r="AP32" s="187">
        <f>VLOOKUP($B32,'FLUJO DE CAJA PROYECTADO '!$B$13:$AS$66,'Control Flujo de caja'!AP$16,FALSE)</f>
        <v>262737</v>
      </c>
      <c r="AQ32" s="187">
        <f>VLOOKUP($B32,REAL!$B$13:$AS$61,'Control Flujo de caja'!AQ$16,FALSE)</f>
        <v>0</v>
      </c>
      <c r="AR32" s="199">
        <f t="shared" si="30"/>
        <v>262737</v>
      </c>
      <c r="AV32" s="220"/>
      <c r="AW32" s="220"/>
      <c r="AX32" s="220"/>
    </row>
    <row r="33" spans="2:50" ht="14" customHeight="1" outlineLevel="4" x14ac:dyDescent="0.15">
      <c r="B33" s="47" t="s">
        <v>42</v>
      </c>
      <c r="C33" s="223" t="s">
        <v>43</v>
      </c>
      <c r="D33" s="224"/>
      <c r="E33" s="185">
        <f>VLOOKUP(B33,'FLUJO DE CAJA PROYECTADO '!$B$13:$J$61,3,FALSE)</f>
        <v>1</v>
      </c>
      <c r="F33" s="186">
        <f>VLOOKUP(B33,'FLUJO DE CAJA PROYECTADO '!$B$13:$J$61,9,FALSE)</f>
        <v>4184037.86</v>
      </c>
      <c r="G33" s="187">
        <f>VLOOKUP(B33,'FLUJO DE CAJA PROYECTADO '!$B$13:$J$61,8,FALSE)</f>
        <v>4184037.86</v>
      </c>
      <c r="H33" s="199">
        <f t="shared" si="21"/>
        <v>-4184037.86</v>
      </c>
      <c r="J33" s="185">
        <f>VLOOKUP($B33,ASEGURADO!$B$3:$J$51,3,FALSE)</f>
        <v>1</v>
      </c>
      <c r="K33" s="186">
        <f>VLOOKUP(B33,ASEGURADO!$B$3:$J$52,9,FALSE)</f>
        <v>4184037.86</v>
      </c>
      <c r="L33" s="187">
        <f>VLOOKUP($B33,ASEGURADO!$B$3:$J$52,8,FALSE)</f>
        <v>4184037.86</v>
      </c>
      <c r="M33" s="199">
        <f t="shared" si="22"/>
        <v>0</v>
      </c>
      <c r="P33" s="185">
        <f>VLOOKUP(B33,REAL!$B$13:$J$61,3,FALSE)</f>
        <v>1</v>
      </c>
      <c r="Q33" s="186">
        <f>VLOOKUP(B33,REAL!$B$13:$J$61,9,FALSE)</f>
        <v>4184037.86</v>
      </c>
      <c r="R33" s="187">
        <f>VLOOKUP(B33,REAL!$B$13:$J$61,8,FALSE)</f>
        <v>4184037.86</v>
      </c>
      <c r="S33" s="199">
        <f t="shared" si="7"/>
        <v>0</v>
      </c>
      <c r="U33" s="43">
        <f>VLOOKUP(B33,Contabilidad!$B$3:$D$51,3,FALSE)</f>
        <v>0</v>
      </c>
      <c r="V33" s="199">
        <f t="shared" si="23"/>
        <v>4184037.86</v>
      </c>
      <c r="X33" s="187">
        <f>VLOOKUP($B33,'FLUJO DE CAJA PROYECTADO '!$B$13:$AI$66,'Control Flujo de caja'!X$16,FALSE)</f>
        <v>4184037.86</v>
      </c>
      <c r="Y33" s="187">
        <f>VLOOKUP($B33,REAL!$B$13:$AI$61,'Control Flujo de caja'!Y$16,FALSE)</f>
        <v>4184037.86</v>
      </c>
      <c r="Z33" s="199">
        <f t="shared" si="24"/>
        <v>0</v>
      </c>
      <c r="AA33" s="187">
        <f>VLOOKUP($B33,'FLUJO DE CAJA PROYECTADO '!$B$13:$AI$66,'Control Flujo de caja'!AA$16,FALSE)</f>
        <v>0</v>
      </c>
      <c r="AB33" s="187">
        <f>VLOOKUP($B33,REAL!$B$13:$AI$61,'Control Flujo de caja'!AB$16,FALSE)</f>
        <v>0</v>
      </c>
      <c r="AC33" s="199">
        <f t="shared" si="25"/>
        <v>0</v>
      </c>
      <c r="AD33" s="187">
        <f>VLOOKUP($B33,'FLUJO DE CAJA PROYECTADO '!$B$13:$AI$66,'Control Flujo de caja'!AD$16,FALSE)</f>
        <v>0</v>
      </c>
      <c r="AE33" s="187">
        <f>VLOOKUP($B33,REAL!$B$13:$AI$61,'Control Flujo de caja'!AE$16,FALSE)</f>
        <v>0</v>
      </c>
      <c r="AF33" s="199">
        <f t="shared" si="26"/>
        <v>0</v>
      </c>
      <c r="AG33" s="187">
        <f>VLOOKUP($B33,'FLUJO DE CAJA PROYECTADO '!$B$13:$AI$66,'Control Flujo de caja'!AG$16,FALSE)</f>
        <v>0</v>
      </c>
      <c r="AH33" s="187">
        <f>VLOOKUP($B33,REAL!$B$13:$AI$61,'Control Flujo de caja'!AH$16,FALSE)</f>
        <v>0</v>
      </c>
      <c r="AI33" s="199">
        <f t="shared" si="27"/>
        <v>0</v>
      </c>
      <c r="AJ33" s="187">
        <f>VLOOKUP($B33,'FLUJO DE CAJA PROYECTADO '!$B$13:$AI$66,'Control Flujo de caja'!AJ$16,FALSE)</f>
        <v>0</v>
      </c>
      <c r="AK33" s="187">
        <f>VLOOKUP($B33,REAL!$B$13:$AI$61,'Control Flujo de caja'!AK$16,FALSE)</f>
        <v>0</v>
      </c>
      <c r="AL33" s="199">
        <f t="shared" si="28"/>
        <v>0</v>
      </c>
      <c r="AM33" s="187">
        <f>VLOOKUP($B33,'FLUJO DE CAJA PROYECTADO '!$B$13:$AN$66,'Control Flujo de caja'!AM$16,FALSE)</f>
        <v>0</v>
      </c>
      <c r="AN33" s="187">
        <f>VLOOKUP($B33,REAL!$B$13:$AN$61,'Control Flujo de caja'!AN$16,FALSE)</f>
        <v>0</v>
      </c>
      <c r="AO33" s="199">
        <f t="shared" si="29"/>
        <v>0</v>
      </c>
      <c r="AP33" s="187">
        <f>VLOOKUP($B33,'FLUJO DE CAJA PROYECTADO '!$B$13:$AS$66,'Control Flujo de caja'!AP$16,FALSE)</f>
        <v>3695647</v>
      </c>
      <c r="AQ33" s="187">
        <f>VLOOKUP($B33,REAL!$B$13:$AS$61,'Control Flujo de caja'!AQ$16,FALSE)</f>
        <v>0</v>
      </c>
      <c r="AR33" s="199">
        <f t="shared" si="30"/>
        <v>3695647</v>
      </c>
      <c r="AV33" s="220"/>
      <c r="AW33" s="220"/>
      <c r="AX33" s="220"/>
    </row>
    <row r="34" spans="2:50" ht="14" customHeight="1" outlineLevel="4" x14ac:dyDescent="0.15">
      <c r="B34" s="47" t="s">
        <v>44</v>
      </c>
      <c r="C34" s="223" t="s">
        <v>45</v>
      </c>
      <c r="D34" s="224"/>
      <c r="E34" s="185">
        <f>VLOOKUP(B34,'FLUJO DE CAJA PROYECTADO '!$B$13:$J$61,3,FALSE)</f>
        <v>1</v>
      </c>
      <c r="F34" s="186">
        <f>VLOOKUP(B34,'FLUJO DE CAJA PROYECTADO '!$B$13:$J$61,9,FALSE)</f>
        <v>9282</v>
      </c>
      <c r="G34" s="187">
        <f>VLOOKUP(B34,'FLUJO DE CAJA PROYECTADO '!$B$13:$J$61,8,FALSE)</f>
        <v>9282</v>
      </c>
      <c r="H34" s="199">
        <f t="shared" si="21"/>
        <v>-9282</v>
      </c>
      <c r="J34" s="185">
        <f>VLOOKUP($B34,ASEGURADO!$B$3:$J$51,3,FALSE)</f>
        <v>1</v>
      </c>
      <c r="K34" s="186">
        <f>VLOOKUP(B34,ASEGURADO!$B$3:$J$52,9,FALSE)</f>
        <v>9282</v>
      </c>
      <c r="L34" s="187">
        <f>VLOOKUP($B34,ASEGURADO!$B$3:$J$52,8,FALSE)</f>
        <v>9282</v>
      </c>
      <c r="M34" s="199">
        <f t="shared" si="22"/>
        <v>0</v>
      </c>
      <c r="P34" s="185">
        <f>VLOOKUP(B34,REAL!$B$13:$J$61,3,FALSE)</f>
        <v>1</v>
      </c>
      <c r="Q34" s="186">
        <f>VLOOKUP(B34,REAL!$B$13:$J$61,9,FALSE)</f>
        <v>9282</v>
      </c>
      <c r="R34" s="187">
        <f>VLOOKUP(B34,REAL!$B$13:$J$61,8,FALSE)</f>
        <v>9282</v>
      </c>
      <c r="S34" s="199">
        <f t="shared" si="7"/>
        <v>0</v>
      </c>
      <c r="U34" s="43">
        <f>VLOOKUP(B34,Contabilidad!$B$3:$D$51,3,FALSE)</f>
        <v>0</v>
      </c>
      <c r="V34" s="199">
        <f t="shared" si="23"/>
        <v>9282</v>
      </c>
      <c r="X34" s="187">
        <f>VLOOKUP($B34,'FLUJO DE CAJA PROYECTADO '!$B$13:$AI$66,'Control Flujo de caja'!X$16,FALSE)</f>
        <v>9282</v>
      </c>
      <c r="Y34" s="187">
        <f>VLOOKUP($B34,REAL!$B$13:$AI$61,'Control Flujo de caja'!Y$16,FALSE)</f>
        <v>9282</v>
      </c>
      <c r="Z34" s="199">
        <f t="shared" si="24"/>
        <v>0</v>
      </c>
      <c r="AA34" s="187">
        <f>VLOOKUP($B34,'FLUJO DE CAJA PROYECTADO '!$B$13:$AI$66,'Control Flujo de caja'!AA$16,FALSE)</f>
        <v>0</v>
      </c>
      <c r="AB34" s="187">
        <f>VLOOKUP($B34,REAL!$B$13:$AI$61,'Control Flujo de caja'!AB$16,FALSE)</f>
        <v>0</v>
      </c>
      <c r="AC34" s="199">
        <f t="shared" si="25"/>
        <v>0</v>
      </c>
      <c r="AD34" s="187">
        <f>VLOOKUP($B34,'FLUJO DE CAJA PROYECTADO '!$B$13:$AI$66,'Control Flujo de caja'!AD$16,FALSE)</f>
        <v>0</v>
      </c>
      <c r="AE34" s="187">
        <f>VLOOKUP($B34,REAL!$B$13:$AI$61,'Control Flujo de caja'!AE$16,FALSE)</f>
        <v>0</v>
      </c>
      <c r="AF34" s="199">
        <f t="shared" si="26"/>
        <v>0</v>
      </c>
      <c r="AG34" s="187">
        <f>VLOOKUP($B34,'FLUJO DE CAJA PROYECTADO '!$B$13:$AI$66,'Control Flujo de caja'!AG$16,FALSE)</f>
        <v>0</v>
      </c>
      <c r="AH34" s="187">
        <f>VLOOKUP($B34,REAL!$B$13:$AI$61,'Control Flujo de caja'!AH$16,FALSE)</f>
        <v>0</v>
      </c>
      <c r="AI34" s="199">
        <f t="shared" si="27"/>
        <v>0</v>
      </c>
      <c r="AJ34" s="187">
        <f>VLOOKUP($B34,'FLUJO DE CAJA PROYECTADO '!$B$13:$AI$66,'Control Flujo de caja'!AJ$16,FALSE)</f>
        <v>0</v>
      </c>
      <c r="AK34" s="187">
        <f>VLOOKUP($B34,REAL!$B$13:$AI$61,'Control Flujo de caja'!AK$16,FALSE)</f>
        <v>0</v>
      </c>
      <c r="AL34" s="199">
        <f t="shared" si="28"/>
        <v>0</v>
      </c>
      <c r="AM34" s="187">
        <f>VLOOKUP($B34,'FLUJO DE CAJA PROYECTADO '!$B$13:$AN$66,'Control Flujo de caja'!AM$16,FALSE)</f>
        <v>0</v>
      </c>
      <c r="AN34" s="187">
        <f>VLOOKUP($B34,REAL!$B$13:$AN$61,'Control Flujo de caja'!AN$16,FALSE)</f>
        <v>0</v>
      </c>
      <c r="AO34" s="199">
        <f t="shared" si="29"/>
        <v>0</v>
      </c>
      <c r="AP34" s="187">
        <f>VLOOKUP($B34,'FLUJO DE CAJA PROYECTADO '!$B$13:$AS$66,'Control Flujo de caja'!AP$16,FALSE)</f>
        <v>1212969</v>
      </c>
      <c r="AQ34" s="187">
        <f>VLOOKUP($B34,REAL!$B$13:$AS$61,'Control Flujo de caja'!AQ$16,FALSE)</f>
        <v>0</v>
      </c>
      <c r="AR34" s="199">
        <f t="shared" si="30"/>
        <v>1212969</v>
      </c>
      <c r="AV34" s="220"/>
      <c r="AW34" s="220"/>
      <c r="AX34" s="220"/>
    </row>
    <row r="35" spans="2:50" ht="14" customHeight="1" outlineLevel="4" x14ac:dyDescent="0.15">
      <c r="B35" s="47" t="s">
        <v>46</v>
      </c>
      <c r="C35" s="223" t="s">
        <v>47</v>
      </c>
      <c r="D35" s="224"/>
      <c r="E35" s="185">
        <f>VLOOKUP(B35,'FLUJO DE CAJA PROYECTADO '!$B$13:$J$61,3,FALSE)</f>
        <v>1</v>
      </c>
      <c r="F35" s="186">
        <f>VLOOKUP(B35,'FLUJO DE CAJA PROYECTADO '!$B$13:$J$61,9,FALSE)</f>
        <v>392285.52</v>
      </c>
      <c r="G35" s="187">
        <f>VLOOKUP(B35,'FLUJO DE CAJA PROYECTADO '!$B$13:$J$61,8,FALSE)</f>
        <v>392285.52</v>
      </c>
      <c r="H35" s="199">
        <f t="shared" si="21"/>
        <v>-392285.52</v>
      </c>
      <c r="J35" s="185">
        <f>VLOOKUP($B35,ASEGURADO!$B$3:$J$51,3,FALSE)</f>
        <v>1</v>
      </c>
      <c r="K35" s="186">
        <f>VLOOKUP(B35,ASEGURADO!$B$3:$J$52,9,FALSE)</f>
        <v>392285.52</v>
      </c>
      <c r="L35" s="187">
        <f>VLOOKUP($B35,ASEGURADO!$B$3:$J$52,8,FALSE)</f>
        <v>392285.52</v>
      </c>
      <c r="M35" s="199">
        <f t="shared" si="22"/>
        <v>0</v>
      </c>
      <c r="P35" s="185">
        <f>VLOOKUP(B35,REAL!$B$13:$J$61,3,FALSE)</f>
        <v>1</v>
      </c>
      <c r="Q35" s="186">
        <f>VLOOKUP(B35,REAL!$B$13:$J$61,9,FALSE)</f>
        <v>392285.52</v>
      </c>
      <c r="R35" s="187">
        <f>VLOOKUP(B35,REAL!$B$13:$J$61,8,FALSE)</f>
        <v>392285.52</v>
      </c>
      <c r="S35" s="199">
        <f t="shared" si="7"/>
        <v>0</v>
      </c>
      <c r="U35" s="43">
        <f>VLOOKUP(B35,Contabilidad!$B$3:$D$51,3,FALSE)</f>
        <v>0</v>
      </c>
      <c r="V35" s="199">
        <f t="shared" si="23"/>
        <v>392285.52</v>
      </c>
      <c r="X35" s="187">
        <f>VLOOKUP($B35,'FLUJO DE CAJA PROYECTADO '!$B$13:$AI$66,'Control Flujo de caja'!X$16,FALSE)</f>
        <v>392285.52</v>
      </c>
      <c r="Y35" s="187">
        <f>VLOOKUP($B35,REAL!$B$13:$AI$61,'Control Flujo de caja'!Y$16,FALSE)</f>
        <v>392285.52</v>
      </c>
      <c r="Z35" s="199">
        <f t="shared" si="24"/>
        <v>0</v>
      </c>
      <c r="AA35" s="187">
        <f>VLOOKUP($B35,'FLUJO DE CAJA PROYECTADO '!$B$13:$AI$66,'Control Flujo de caja'!AA$16,FALSE)</f>
        <v>0</v>
      </c>
      <c r="AB35" s="187">
        <f>VLOOKUP($B35,REAL!$B$13:$AI$61,'Control Flujo de caja'!AB$16,FALSE)</f>
        <v>0</v>
      </c>
      <c r="AC35" s="199">
        <f t="shared" si="25"/>
        <v>0</v>
      </c>
      <c r="AD35" s="187">
        <f>VLOOKUP($B35,'FLUJO DE CAJA PROYECTADO '!$B$13:$AI$66,'Control Flujo de caja'!AD$16,FALSE)</f>
        <v>0</v>
      </c>
      <c r="AE35" s="187">
        <f>VLOOKUP($B35,REAL!$B$13:$AI$61,'Control Flujo de caja'!AE$16,FALSE)</f>
        <v>0</v>
      </c>
      <c r="AF35" s="199">
        <f t="shared" si="26"/>
        <v>0</v>
      </c>
      <c r="AG35" s="187">
        <f>VLOOKUP($B35,'FLUJO DE CAJA PROYECTADO '!$B$13:$AI$66,'Control Flujo de caja'!AG$16,FALSE)</f>
        <v>0</v>
      </c>
      <c r="AH35" s="187">
        <f>VLOOKUP($B35,REAL!$B$13:$AI$61,'Control Flujo de caja'!AH$16,FALSE)</f>
        <v>0</v>
      </c>
      <c r="AI35" s="199">
        <f t="shared" si="27"/>
        <v>0</v>
      </c>
      <c r="AJ35" s="187">
        <f>VLOOKUP($B35,'FLUJO DE CAJA PROYECTADO '!$B$13:$AI$66,'Control Flujo de caja'!AJ$16,FALSE)</f>
        <v>0</v>
      </c>
      <c r="AK35" s="187">
        <f>VLOOKUP($B35,REAL!$B$13:$AI$61,'Control Flujo de caja'!AK$16,FALSE)</f>
        <v>0</v>
      </c>
      <c r="AL35" s="199">
        <f t="shared" si="28"/>
        <v>0</v>
      </c>
      <c r="AM35" s="187">
        <f>VLOOKUP($B35,'FLUJO DE CAJA PROYECTADO '!$B$13:$AN$66,'Control Flujo de caja'!AM$16,FALSE)</f>
        <v>0</v>
      </c>
      <c r="AN35" s="187">
        <f>VLOOKUP($B35,REAL!$B$13:$AN$61,'Control Flujo de caja'!AN$16,FALSE)</f>
        <v>0</v>
      </c>
      <c r="AO35" s="199">
        <f t="shared" si="29"/>
        <v>0</v>
      </c>
      <c r="AP35" s="187">
        <f>VLOOKUP($B35,'FLUJO DE CAJA PROYECTADO '!$B$13:$AS$66,'Control Flujo de caja'!AP$16,FALSE)</f>
        <v>590277</v>
      </c>
      <c r="AQ35" s="187">
        <f>VLOOKUP($B35,REAL!$B$13:$AS$61,'Control Flujo de caja'!AQ$16,FALSE)</f>
        <v>0</v>
      </c>
      <c r="AR35" s="199">
        <f t="shared" si="30"/>
        <v>590277</v>
      </c>
      <c r="AV35" s="220"/>
      <c r="AW35" s="220"/>
      <c r="AX35" s="220"/>
    </row>
    <row r="36" spans="2:50" ht="14" customHeight="1" outlineLevel="4" x14ac:dyDescent="0.15">
      <c r="B36" s="51" t="s">
        <v>48</v>
      </c>
      <c r="C36" s="52" t="s">
        <v>49</v>
      </c>
      <c r="D36" s="181">
        <v>48300865</v>
      </c>
      <c r="E36" s="182">
        <f t="shared" ref="E36:G36" si="31">SUM(E37:E39)</f>
        <v>3</v>
      </c>
      <c r="F36" s="183">
        <f t="shared" si="31"/>
        <v>48300863</v>
      </c>
      <c r="G36" s="184">
        <f t="shared" si="31"/>
        <v>0</v>
      </c>
      <c r="H36" s="350">
        <f t="shared" si="21"/>
        <v>48300865</v>
      </c>
      <c r="J36" s="182">
        <f t="shared" ref="J36:M36" si="32">SUM(J37:J39)</f>
        <v>3</v>
      </c>
      <c r="K36" s="182">
        <f t="shared" si="32"/>
        <v>48300863</v>
      </c>
      <c r="L36" s="182">
        <f t="shared" si="32"/>
        <v>0</v>
      </c>
      <c r="M36" s="198">
        <f t="shared" si="32"/>
        <v>0</v>
      </c>
      <c r="P36" s="182">
        <f t="shared" ref="P36:R36" si="33">SUM(P37:P39)</f>
        <v>3</v>
      </c>
      <c r="Q36" s="183">
        <f t="shared" si="33"/>
        <v>48300863</v>
      </c>
      <c r="R36" s="184">
        <f t="shared" si="33"/>
        <v>0</v>
      </c>
      <c r="S36" s="350">
        <f t="shared" si="7"/>
        <v>0</v>
      </c>
      <c r="U36" s="43">
        <f>VLOOKUP(B36,Contabilidad!$B$3:$D$51,3,FALSE)</f>
        <v>0</v>
      </c>
      <c r="V36" s="198">
        <f t="shared" ref="V36" si="34">SUM(V37:V39)</f>
        <v>0</v>
      </c>
      <c r="X36" s="184">
        <f t="shared" ref="X36:Z36" si="35">SUM(X37:X39)</f>
        <v>0</v>
      </c>
      <c r="Y36" s="184">
        <f t="shared" si="35"/>
        <v>0</v>
      </c>
      <c r="Z36" s="198">
        <f t="shared" si="35"/>
        <v>0</v>
      </c>
      <c r="AA36" s="184">
        <f t="shared" ref="AA36:AB36" si="36">SUM(AA37:AA39)</f>
        <v>0</v>
      </c>
      <c r="AB36" s="184">
        <f t="shared" si="36"/>
        <v>0</v>
      </c>
      <c r="AC36" s="198">
        <f t="shared" ref="AC36:AO36" si="37">SUM(AC37:AC39)</f>
        <v>0</v>
      </c>
      <c r="AD36" s="184">
        <f t="shared" si="37"/>
        <v>0</v>
      </c>
      <c r="AE36" s="184">
        <f t="shared" si="37"/>
        <v>0</v>
      </c>
      <c r="AF36" s="198">
        <f t="shared" si="37"/>
        <v>0</v>
      </c>
      <c r="AG36" s="184">
        <f t="shared" si="37"/>
        <v>0</v>
      </c>
      <c r="AH36" s="184">
        <f t="shared" si="37"/>
        <v>0</v>
      </c>
      <c r="AI36" s="198">
        <f t="shared" si="37"/>
        <v>0</v>
      </c>
      <c r="AJ36" s="184">
        <f t="shared" si="37"/>
        <v>0</v>
      </c>
      <c r="AK36" s="184">
        <f t="shared" si="37"/>
        <v>0</v>
      </c>
      <c r="AL36" s="198">
        <f t="shared" si="37"/>
        <v>0</v>
      </c>
      <c r="AM36" s="184">
        <f t="shared" si="37"/>
        <v>0</v>
      </c>
      <c r="AN36" s="184">
        <f t="shared" si="37"/>
        <v>0</v>
      </c>
      <c r="AO36" s="198">
        <f t="shared" si="37"/>
        <v>0</v>
      </c>
      <c r="AP36" s="184">
        <f t="shared" ref="AP36:AR36" si="38">SUM(AP37:AP39)</f>
        <v>48300864.980000004</v>
      </c>
      <c r="AQ36" s="184">
        <f t="shared" si="38"/>
        <v>0</v>
      </c>
      <c r="AR36" s="198">
        <f t="shared" si="38"/>
        <v>48300864.980000004</v>
      </c>
      <c r="AV36" s="220"/>
      <c r="AW36" s="220"/>
      <c r="AX36" s="220"/>
    </row>
    <row r="37" spans="2:50" ht="14" customHeight="1" outlineLevel="2" x14ac:dyDescent="0.15">
      <c r="B37" s="47" t="s">
        <v>50</v>
      </c>
      <c r="C37" s="223" t="s">
        <v>51</v>
      </c>
      <c r="D37" s="224"/>
      <c r="E37" s="185">
        <f>VLOOKUP(B37,'FLUJO DE CAJA PROYECTADO '!$B$13:$J$61,3,FALSE)</f>
        <v>1</v>
      </c>
      <c r="F37" s="186">
        <f>VLOOKUP(B37,'FLUJO DE CAJA PROYECTADO '!$B$13:$J$61,9,FALSE)</f>
        <v>7318312</v>
      </c>
      <c r="G37" s="187">
        <f>VLOOKUP(B37,'FLUJO DE CAJA PROYECTADO '!$B$13:$J$61,8,FALSE)</f>
        <v>0</v>
      </c>
      <c r="H37" s="199">
        <f t="shared" si="21"/>
        <v>0</v>
      </c>
      <c r="J37" s="185">
        <f>VLOOKUP($B37,ASEGURADO!$B$3:$J$51,3,FALSE)</f>
        <v>1</v>
      </c>
      <c r="K37" s="186">
        <f>VLOOKUP(B37,ASEGURADO!$B$3:$J$52,9,FALSE)</f>
        <v>7318312</v>
      </c>
      <c r="L37" s="187">
        <f>VLOOKUP($B37,ASEGURADO!$B$3:$J$52,8,FALSE)</f>
        <v>0</v>
      </c>
      <c r="M37" s="199">
        <f t="shared" ref="M37:M41" si="39">G37-L37</f>
        <v>0</v>
      </c>
      <c r="P37" s="185">
        <f>VLOOKUP(B37,REAL!$B$13:$J$61,3,FALSE)</f>
        <v>1</v>
      </c>
      <c r="Q37" s="186">
        <f>VLOOKUP(B37,REAL!$B$13:$J$61,9,FALSE)</f>
        <v>7318312</v>
      </c>
      <c r="R37" s="187">
        <f>VLOOKUP(B37,REAL!$B$13:$J$61,8,FALSE)</f>
        <v>0</v>
      </c>
      <c r="S37" s="199">
        <f t="shared" si="7"/>
        <v>0</v>
      </c>
      <c r="U37" s="43">
        <f>VLOOKUP(B37,Contabilidad!$B$3:$D$51,3,FALSE)</f>
        <v>0</v>
      </c>
      <c r="V37" s="199">
        <f t="shared" ref="V37:V39" si="40">R37-U37</f>
        <v>0</v>
      </c>
      <c r="X37" s="187">
        <f>VLOOKUP($B37,'FLUJO DE CAJA PROYECTADO '!$B$13:$AI$66,'Control Flujo de caja'!X$16,FALSE)</f>
        <v>0</v>
      </c>
      <c r="Y37" s="187">
        <f>VLOOKUP($B37,REAL!$B$13:$AI$61,'Control Flujo de caja'!Y$16,FALSE)</f>
        <v>0</v>
      </c>
      <c r="Z37" s="199">
        <f t="shared" si="24"/>
        <v>0</v>
      </c>
      <c r="AA37" s="187">
        <f>VLOOKUP($B37,'FLUJO DE CAJA PROYECTADO '!$B$13:$AI$66,'Control Flujo de caja'!AA$16,FALSE)</f>
        <v>0</v>
      </c>
      <c r="AB37" s="187">
        <f>VLOOKUP($B37,REAL!$B$13:$AI$61,'Control Flujo de caja'!AB$16,FALSE)</f>
        <v>0</v>
      </c>
      <c r="AC37" s="199">
        <f t="shared" ref="AC37:AC39" si="41">AA37-AB37</f>
        <v>0</v>
      </c>
      <c r="AD37" s="187">
        <f>VLOOKUP($B37,'FLUJO DE CAJA PROYECTADO '!$B$13:$AI$66,'Control Flujo de caja'!AD$16,FALSE)</f>
        <v>0</v>
      </c>
      <c r="AE37" s="187">
        <f>VLOOKUP($B37,REAL!$B$13:$AI$61,'Control Flujo de caja'!AE$16,FALSE)</f>
        <v>0</v>
      </c>
      <c r="AF37" s="199">
        <f t="shared" ref="AF37:AF39" si="42">AD37-AE37</f>
        <v>0</v>
      </c>
      <c r="AG37" s="187">
        <f>VLOOKUP($B37,'FLUJO DE CAJA PROYECTADO '!$B$13:$AI$66,'Control Flujo de caja'!AG$16,FALSE)</f>
        <v>0</v>
      </c>
      <c r="AH37" s="187">
        <f>VLOOKUP($B37,REAL!$B$13:$AI$61,'Control Flujo de caja'!AH$16,FALSE)</f>
        <v>0</v>
      </c>
      <c r="AI37" s="199">
        <f t="shared" ref="AI37:AI39" si="43">AG37-AH37</f>
        <v>0</v>
      </c>
      <c r="AJ37" s="187">
        <f>VLOOKUP($B37,'FLUJO DE CAJA PROYECTADO '!$B$13:$AI$66,'Control Flujo de caja'!AJ$16,FALSE)</f>
        <v>0</v>
      </c>
      <c r="AK37" s="187">
        <f>VLOOKUP($B37,REAL!$B$13:$AI$61,'Control Flujo de caja'!AK$16,FALSE)</f>
        <v>0</v>
      </c>
      <c r="AL37" s="199">
        <f t="shared" ref="AL37:AL39" si="44">AJ37-AK37</f>
        <v>0</v>
      </c>
      <c r="AM37" s="187">
        <f>VLOOKUP($B37,'FLUJO DE CAJA PROYECTADO '!$B$13:$AN$66,'Control Flujo de caja'!AM$16,FALSE)</f>
        <v>0</v>
      </c>
      <c r="AN37" s="187">
        <f>VLOOKUP($B37,REAL!$B$13:$AN$61,'Control Flujo de caja'!AN$16,FALSE)</f>
        <v>0</v>
      </c>
      <c r="AO37" s="199">
        <f t="shared" ref="AO37:AO39" si="45">AM37-AN37</f>
        <v>0</v>
      </c>
      <c r="AP37" s="187">
        <f>VLOOKUP($B37,'FLUJO DE CAJA PROYECTADO '!$B$13:$AS$66,'Control Flujo de caja'!AP$16,FALSE)</f>
        <v>7318312.8799999999</v>
      </c>
      <c r="AQ37" s="187">
        <f>VLOOKUP($B37,REAL!$B$13:$AS$61,'Control Flujo de caja'!AQ$16,FALSE)</f>
        <v>0</v>
      </c>
      <c r="AR37" s="199">
        <f t="shared" ref="AR37:AR39" si="46">AP37-AQ37</f>
        <v>7318312.8799999999</v>
      </c>
      <c r="AV37" s="220"/>
      <c r="AW37" s="220"/>
      <c r="AX37" s="220"/>
    </row>
    <row r="38" spans="2:50" ht="14" customHeight="1" outlineLevel="3" x14ac:dyDescent="0.15">
      <c r="B38" s="47" t="s">
        <v>52</v>
      </c>
      <c r="C38" s="223" t="s">
        <v>53</v>
      </c>
      <c r="D38" s="224"/>
      <c r="E38" s="185">
        <f>VLOOKUP(B38,'FLUJO DE CAJA PROYECTADO '!$B$13:$J$61,3,FALSE)</f>
        <v>1</v>
      </c>
      <c r="F38" s="186">
        <f>VLOOKUP(B38,'FLUJO DE CAJA PROYECTADO '!$B$13:$J$61,9,FALSE)</f>
        <v>29273251</v>
      </c>
      <c r="G38" s="187">
        <f>VLOOKUP(B38,'FLUJO DE CAJA PROYECTADO '!$B$13:$J$61,8,FALSE)</f>
        <v>0</v>
      </c>
      <c r="H38" s="199">
        <f t="shared" si="21"/>
        <v>0</v>
      </c>
      <c r="J38" s="185">
        <f>VLOOKUP($B38,ASEGURADO!$B$3:$J$51,3,FALSE)</f>
        <v>1</v>
      </c>
      <c r="K38" s="186">
        <f>VLOOKUP(B38,ASEGURADO!$B$3:$J$52,9,FALSE)</f>
        <v>29273251</v>
      </c>
      <c r="L38" s="187">
        <f>VLOOKUP($B38,ASEGURADO!$B$3:$J$52,8,FALSE)</f>
        <v>0</v>
      </c>
      <c r="M38" s="199">
        <f t="shared" si="39"/>
        <v>0</v>
      </c>
      <c r="P38" s="185">
        <f>VLOOKUP(B38,REAL!$B$13:$J$61,3,FALSE)</f>
        <v>1</v>
      </c>
      <c r="Q38" s="186">
        <f>VLOOKUP(B38,REAL!$B$13:$J$61,9,FALSE)</f>
        <v>29273251</v>
      </c>
      <c r="R38" s="187">
        <f>VLOOKUP(B38,REAL!$B$13:$J$61,8,FALSE)</f>
        <v>0</v>
      </c>
      <c r="S38" s="199">
        <f t="shared" si="7"/>
        <v>0</v>
      </c>
      <c r="U38" s="43">
        <f>VLOOKUP(B38,Contabilidad!$B$3:$D$51,3,FALSE)</f>
        <v>0</v>
      </c>
      <c r="V38" s="199">
        <f t="shared" si="40"/>
        <v>0</v>
      </c>
      <c r="X38" s="187">
        <f>VLOOKUP($B38,'FLUJO DE CAJA PROYECTADO '!$B$13:$AI$66,'Control Flujo de caja'!X$16,FALSE)</f>
        <v>0</v>
      </c>
      <c r="Y38" s="187">
        <f>VLOOKUP($B38,REAL!$B$13:$AI$61,'Control Flujo de caja'!Y$16,FALSE)</f>
        <v>0</v>
      </c>
      <c r="Z38" s="199">
        <f t="shared" si="24"/>
        <v>0</v>
      </c>
      <c r="AA38" s="187">
        <f>VLOOKUP($B38,'FLUJO DE CAJA PROYECTADO '!$B$13:$AI$66,'Control Flujo de caja'!AA$16,FALSE)</f>
        <v>0</v>
      </c>
      <c r="AB38" s="187">
        <f>VLOOKUP($B38,REAL!$B$13:$AI$61,'Control Flujo de caja'!AB$16,FALSE)</f>
        <v>0</v>
      </c>
      <c r="AC38" s="199">
        <f t="shared" si="41"/>
        <v>0</v>
      </c>
      <c r="AD38" s="187">
        <f>VLOOKUP($B38,'FLUJO DE CAJA PROYECTADO '!$B$13:$AI$66,'Control Flujo de caja'!AD$16,FALSE)</f>
        <v>0</v>
      </c>
      <c r="AE38" s="187">
        <f>VLOOKUP($B38,REAL!$B$13:$AI$61,'Control Flujo de caja'!AE$16,FALSE)</f>
        <v>0</v>
      </c>
      <c r="AF38" s="199">
        <f t="shared" si="42"/>
        <v>0</v>
      </c>
      <c r="AG38" s="187">
        <f>VLOOKUP($B38,'FLUJO DE CAJA PROYECTADO '!$B$13:$AI$66,'Control Flujo de caja'!AG$16,FALSE)</f>
        <v>0</v>
      </c>
      <c r="AH38" s="187">
        <f>VLOOKUP($B38,REAL!$B$13:$AI$61,'Control Flujo de caja'!AH$16,FALSE)</f>
        <v>0</v>
      </c>
      <c r="AI38" s="199">
        <f t="shared" si="43"/>
        <v>0</v>
      </c>
      <c r="AJ38" s="187">
        <f>VLOOKUP($B38,'FLUJO DE CAJA PROYECTADO '!$B$13:$AI$66,'Control Flujo de caja'!AJ$16,FALSE)</f>
        <v>0</v>
      </c>
      <c r="AK38" s="187">
        <f>VLOOKUP($B38,REAL!$B$13:$AI$61,'Control Flujo de caja'!AK$16,FALSE)</f>
        <v>0</v>
      </c>
      <c r="AL38" s="199">
        <f t="shared" si="44"/>
        <v>0</v>
      </c>
      <c r="AM38" s="187">
        <f>VLOOKUP($B38,'FLUJO DE CAJA PROYECTADO '!$B$13:$AN$66,'Control Flujo de caja'!AM$16,FALSE)</f>
        <v>0</v>
      </c>
      <c r="AN38" s="187">
        <f>VLOOKUP($B38,REAL!$B$13:$AN$61,'Control Flujo de caja'!AN$16,FALSE)</f>
        <v>0</v>
      </c>
      <c r="AO38" s="199">
        <f t="shared" si="45"/>
        <v>0</v>
      </c>
      <c r="AP38" s="187">
        <f>VLOOKUP($B38,'FLUJO DE CAJA PROYECTADO '!$B$13:$AS$66,'Control Flujo de caja'!AP$16,FALSE)</f>
        <v>29273251.5</v>
      </c>
      <c r="AQ38" s="187">
        <f>VLOOKUP($B38,REAL!$B$13:$AS$61,'Control Flujo de caja'!AQ$16,FALSE)</f>
        <v>0</v>
      </c>
      <c r="AR38" s="199">
        <f t="shared" si="46"/>
        <v>29273251.5</v>
      </c>
      <c r="AV38" s="220"/>
      <c r="AW38" s="220"/>
      <c r="AX38" s="220"/>
    </row>
    <row r="39" spans="2:50" ht="14" customHeight="1" outlineLevel="4" x14ac:dyDescent="0.15">
      <c r="B39" s="47" t="s">
        <v>54</v>
      </c>
      <c r="C39" s="223" t="s">
        <v>55</v>
      </c>
      <c r="D39" s="224"/>
      <c r="E39" s="185">
        <f>VLOOKUP(B39,'FLUJO DE CAJA PROYECTADO '!$B$13:$J$61,3,FALSE)</f>
        <v>1</v>
      </c>
      <c r="F39" s="186">
        <f>VLOOKUP(B39,'FLUJO DE CAJA PROYECTADO '!$B$13:$J$61,9,FALSE)</f>
        <v>11709300</v>
      </c>
      <c r="G39" s="187">
        <f>VLOOKUP(B39,'FLUJO DE CAJA PROYECTADO '!$B$13:$J$61,8,FALSE)</f>
        <v>0</v>
      </c>
      <c r="H39" s="199">
        <f t="shared" si="21"/>
        <v>0</v>
      </c>
      <c r="J39" s="185">
        <f>VLOOKUP($B39,ASEGURADO!$B$3:$J$51,3,FALSE)</f>
        <v>1</v>
      </c>
      <c r="K39" s="186">
        <f>VLOOKUP(B39,ASEGURADO!$B$3:$J$52,9,FALSE)</f>
        <v>11709300</v>
      </c>
      <c r="L39" s="187">
        <f>VLOOKUP($B39,ASEGURADO!$B$3:$J$52,8,FALSE)</f>
        <v>0</v>
      </c>
      <c r="M39" s="199">
        <f t="shared" si="39"/>
        <v>0</v>
      </c>
      <c r="P39" s="185">
        <f>VLOOKUP(B39,REAL!$B$13:$J$61,3,FALSE)</f>
        <v>1</v>
      </c>
      <c r="Q39" s="186">
        <f>VLOOKUP(B39,REAL!$B$13:$J$61,9,FALSE)</f>
        <v>11709300</v>
      </c>
      <c r="R39" s="187">
        <f>VLOOKUP(B39,REAL!$B$13:$J$61,8,FALSE)</f>
        <v>0</v>
      </c>
      <c r="S39" s="199">
        <f t="shared" si="7"/>
        <v>0</v>
      </c>
      <c r="U39" s="43">
        <f>VLOOKUP(B39,Contabilidad!$B$3:$D$51,3,FALSE)</f>
        <v>0</v>
      </c>
      <c r="V39" s="199">
        <f t="shared" si="40"/>
        <v>0</v>
      </c>
      <c r="X39" s="187">
        <f>VLOOKUP($B39,'FLUJO DE CAJA PROYECTADO '!$B$13:$AI$66,'Control Flujo de caja'!X$16,FALSE)</f>
        <v>0</v>
      </c>
      <c r="Y39" s="187">
        <f>VLOOKUP($B39,REAL!$B$13:$AI$61,'Control Flujo de caja'!Y$16,FALSE)</f>
        <v>0</v>
      </c>
      <c r="Z39" s="199">
        <f t="shared" si="24"/>
        <v>0</v>
      </c>
      <c r="AA39" s="187">
        <f>VLOOKUP($B39,'FLUJO DE CAJA PROYECTADO '!$B$13:$AI$66,'Control Flujo de caja'!AA$16,FALSE)</f>
        <v>0</v>
      </c>
      <c r="AB39" s="187">
        <f>VLOOKUP($B39,REAL!$B$13:$AI$61,'Control Flujo de caja'!AB$16,FALSE)</f>
        <v>0</v>
      </c>
      <c r="AC39" s="199">
        <f t="shared" si="41"/>
        <v>0</v>
      </c>
      <c r="AD39" s="187">
        <f>VLOOKUP($B39,'FLUJO DE CAJA PROYECTADO '!$B$13:$AI$66,'Control Flujo de caja'!AD$16,FALSE)</f>
        <v>0</v>
      </c>
      <c r="AE39" s="187">
        <f>VLOOKUP($B39,REAL!$B$13:$AI$61,'Control Flujo de caja'!AE$16,FALSE)</f>
        <v>0</v>
      </c>
      <c r="AF39" s="199">
        <f t="shared" si="42"/>
        <v>0</v>
      </c>
      <c r="AG39" s="187">
        <f>VLOOKUP($B39,'FLUJO DE CAJA PROYECTADO '!$B$13:$AI$66,'Control Flujo de caja'!AG$16,FALSE)</f>
        <v>0</v>
      </c>
      <c r="AH39" s="187">
        <f>VLOOKUP($B39,REAL!$B$13:$AI$61,'Control Flujo de caja'!AH$16,FALSE)</f>
        <v>0</v>
      </c>
      <c r="AI39" s="199">
        <f t="shared" si="43"/>
        <v>0</v>
      </c>
      <c r="AJ39" s="187">
        <f>VLOOKUP($B39,'FLUJO DE CAJA PROYECTADO '!$B$13:$AI$66,'Control Flujo de caja'!AJ$16,FALSE)</f>
        <v>0</v>
      </c>
      <c r="AK39" s="187">
        <f>VLOOKUP($B39,REAL!$B$13:$AI$61,'Control Flujo de caja'!AK$16,FALSE)</f>
        <v>0</v>
      </c>
      <c r="AL39" s="199">
        <f t="shared" si="44"/>
        <v>0</v>
      </c>
      <c r="AM39" s="187">
        <f>VLOOKUP($B39,'FLUJO DE CAJA PROYECTADO '!$B$13:$AN$66,'Control Flujo de caja'!AM$16,FALSE)</f>
        <v>0</v>
      </c>
      <c r="AN39" s="187">
        <f>VLOOKUP($B39,REAL!$B$13:$AN$61,'Control Flujo de caja'!AN$16,FALSE)</f>
        <v>0</v>
      </c>
      <c r="AO39" s="199">
        <f t="shared" si="45"/>
        <v>0</v>
      </c>
      <c r="AP39" s="187">
        <f>VLOOKUP($B39,'FLUJO DE CAJA PROYECTADO '!$B$13:$AS$66,'Control Flujo de caja'!AP$16,FALSE)</f>
        <v>11709300.6</v>
      </c>
      <c r="AQ39" s="187">
        <f>VLOOKUP($B39,REAL!$B$13:$AS$61,'Control Flujo de caja'!AQ$16,FALSE)</f>
        <v>0</v>
      </c>
      <c r="AR39" s="199">
        <f t="shared" si="46"/>
        <v>11709300.6</v>
      </c>
      <c r="AV39" s="220"/>
      <c r="AW39" s="220"/>
      <c r="AX39" s="220"/>
    </row>
    <row r="40" spans="2:50" ht="14" customHeight="1" outlineLevel="4" x14ac:dyDescent="0.15">
      <c r="B40" s="51" t="s">
        <v>56</v>
      </c>
      <c r="C40" s="52" t="s">
        <v>57</v>
      </c>
      <c r="D40" s="181">
        <v>24640000</v>
      </c>
      <c r="E40" s="188">
        <f t="shared" ref="E40:M40" si="47">E41</f>
        <v>4</v>
      </c>
      <c r="F40" s="189">
        <f t="shared" si="47"/>
        <v>7000000</v>
      </c>
      <c r="G40" s="190">
        <f>SUM(G41:G42)</f>
        <v>34339945</v>
      </c>
      <c r="H40" s="350">
        <f t="shared" si="21"/>
        <v>-9699945</v>
      </c>
      <c r="J40" s="188">
        <f t="shared" si="47"/>
        <v>4</v>
      </c>
      <c r="K40" s="188">
        <f t="shared" si="47"/>
        <v>7000000</v>
      </c>
      <c r="L40" s="188">
        <f t="shared" si="47"/>
        <v>2435886</v>
      </c>
      <c r="M40" s="200">
        <f t="shared" si="47"/>
        <v>14654059</v>
      </c>
      <c r="P40" s="190">
        <f>SUM(P41:P42)</f>
        <v>8</v>
      </c>
      <c r="Q40" s="190">
        <f>SUM(Q41:Q42)</f>
        <v>10450000</v>
      </c>
      <c r="R40" s="190">
        <f>SUM(R41:R42)</f>
        <v>23736902</v>
      </c>
      <c r="S40" s="350">
        <f t="shared" si="7"/>
        <v>10603043</v>
      </c>
      <c r="U40" s="190">
        <f>SUM(U41:U42)</f>
        <v>8202317</v>
      </c>
      <c r="V40" s="200">
        <f t="shared" ref="V40" si="48">V41</f>
        <v>4441021</v>
      </c>
      <c r="X40" s="190">
        <f t="shared" ref="X40:AO40" si="49">SUM(X41:X42)</f>
        <v>2435886</v>
      </c>
      <c r="Y40" s="190">
        <f t="shared" si="49"/>
        <v>2435886</v>
      </c>
      <c r="Z40" s="190">
        <f t="shared" si="49"/>
        <v>0</v>
      </c>
      <c r="AA40" s="190">
        <f t="shared" si="49"/>
        <v>10365382</v>
      </c>
      <c r="AB40" s="190">
        <f t="shared" si="49"/>
        <v>10362570</v>
      </c>
      <c r="AC40" s="190">
        <f t="shared" si="49"/>
        <v>2812</v>
      </c>
      <c r="AD40" s="190">
        <f t="shared" si="49"/>
        <v>10365382</v>
      </c>
      <c r="AE40" s="190">
        <f t="shared" si="49"/>
        <v>7315258</v>
      </c>
      <c r="AF40" s="190">
        <f t="shared" si="49"/>
        <v>3050124</v>
      </c>
      <c r="AG40" s="190">
        <f t="shared" si="49"/>
        <v>3450000</v>
      </c>
      <c r="AH40" s="190">
        <f t="shared" si="49"/>
        <v>3623188</v>
      </c>
      <c r="AI40" s="190">
        <f t="shared" si="49"/>
        <v>-173188</v>
      </c>
      <c r="AJ40" s="190">
        <f t="shared" si="49"/>
        <v>3450000</v>
      </c>
      <c r="AK40" s="190">
        <f t="shared" si="49"/>
        <v>0</v>
      </c>
      <c r="AL40" s="190">
        <f t="shared" si="49"/>
        <v>3450000</v>
      </c>
      <c r="AM40" s="190">
        <f t="shared" si="49"/>
        <v>4273295</v>
      </c>
      <c r="AN40" s="190">
        <f t="shared" si="49"/>
        <v>0</v>
      </c>
      <c r="AO40" s="190">
        <f t="shared" si="49"/>
        <v>4273295</v>
      </c>
      <c r="AP40" s="190">
        <f t="shared" ref="AP40:AR40" si="50">SUM(AP41:AP42)</f>
        <v>4273295</v>
      </c>
      <c r="AQ40" s="190">
        <f t="shared" si="50"/>
        <v>0</v>
      </c>
      <c r="AR40" s="190">
        <f t="shared" si="50"/>
        <v>4273295</v>
      </c>
      <c r="AV40" s="220"/>
      <c r="AW40" s="220"/>
      <c r="AX40" s="220"/>
    </row>
    <row r="41" spans="2:50" ht="14" customHeight="1" outlineLevel="4" x14ac:dyDescent="0.15">
      <c r="B41" s="138" t="s">
        <v>58</v>
      </c>
      <c r="C41" s="225" t="s">
        <v>59</v>
      </c>
      <c r="D41" s="226"/>
      <c r="E41" s="185">
        <f>VLOOKUP(B41,'FLUJO DE CAJA PROYECTADO '!$B$13:$J$61,3,FALSE)</f>
        <v>4</v>
      </c>
      <c r="F41" s="186">
        <f>VLOOKUP(B41,'FLUJO DE CAJA PROYECTADO '!$B$13:$J$61,9,FALSE)</f>
        <v>7000000</v>
      </c>
      <c r="G41" s="187">
        <f>VLOOKUP(B41,'FLUJO DE CAJA PROYECTADO '!$B$13:$J$61,8,FALSE)</f>
        <v>17089945</v>
      </c>
      <c r="H41" s="199">
        <f t="shared" si="21"/>
        <v>-17089945</v>
      </c>
      <c r="J41" s="185">
        <f>VLOOKUP($B41,ASEGURADO!$B$3:$J$51,3,FALSE)</f>
        <v>4</v>
      </c>
      <c r="K41" s="186">
        <f>VLOOKUP(B41,ASEGURADO!$B$3:$J$52,9,FALSE)</f>
        <v>7000000</v>
      </c>
      <c r="L41" s="187">
        <f>VLOOKUP($B41,ASEGURADO!$B$3:$J$52,8,FALSE)</f>
        <v>2435886</v>
      </c>
      <c r="M41" s="199">
        <f t="shared" si="39"/>
        <v>14654059</v>
      </c>
      <c r="P41" s="185">
        <f>VLOOKUP(B41,REAL!$B$13:$J$61,3,FALSE)</f>
        <v>4</v>
      </c>
      <c r="Q41" s="186">
        <f>VLOOKUP(B41,REAL!$B$13:$J$61,9,FALSE)</f>
        <v>7000000</v>
      </c>
      <c r="R41" s="187">
        <f>VLOOKUP(B41,REAL!$B$13:$J$61,8,FALSE)</f>
        <v>12643338</v>
      </c>
      <c r="S41" s="199">
        <f t="shared" si="7"/>
        <v>4446607</v>
      </c>
      <c r="U41" s="43">
        <f>VLOOKUP(B41,Contabilidad!$B$3:$D$51,3,FALSE)</f>
        <v>8202317</v>
      </c>
      <c r="V41" s="199">
        <f>R41-U41</f>
        <v>4441021</v>
      </c>
      <c r="X41" s="187">
        <f>VLOOKUP($B41,'FLUJO DE CAJA PROYECTADO '!$B$13:$AI$66,'Control Flujo de caja'!X$16,FALSE)</f>
        <v>2435886</v>
      </c>
      <c r="Y41" s="187">
        <f>VLOOKUP($B41,REAL!$B$13:$AI$61,'Control Flujo de caja'!Y$16,FALSE)</f>
        <v>2435886</v>
      </c>
      <c r="Z41" s="199">
        <f t="shared" si="24"/>
        <v>0</v>
      </c>
      <c r="AA41" s="187">
        <f>VLOOKUP($B41,'FLUJO DE CAJA PROYECTADO '!$B$13:$AI$66,'Control Flujo de caja'!AA$16,FALSE)</f>
        <v>6915382</v>
      </c>
      <c r="AB41" s="187">
        <f>VLOOKUP($B41,REAL!$B$13:$AI$61,'Control Flujo de caja'!AB$16,FALSE)</f>
        <v>6515382</v>
      </c>
      <c r="AC41" s="199">
        <f t="shared" ref="AC41" si="51">AA41-AB41</f>
        <v>400000</v>
      </c>
      <c r="AD41" s="187">
        <f>VLOOKUP($B41,'FLUJO DE CAJA PROYECTADO '!$B$13:$AI$66,'Control Flujo de caja'!AD$16,FALSE)</f>
        <v>6915382</v>
      </c>
      <c r="AE41" s="187">
        <f>VLOOKUP($B41,REAL!$B$13:$AI$61,'Control Flujo de caja'!AE$16,FALSE)</f>
        <v>3692070</v>
      </c>
      <c r="AF41" s="199">
        <f t="shared" ref="AF41" si="52">AD41-AE41</f>
        <v>3223312</v>
      </c>
      <c r="AG41" s="187">
        <f>VLOOKUP($B41,'FLUJO DE CAJA PROYECTADO '!$B$13:$AI$66,'Control Flujo de caja'!AG$16,FALSE)</f>
        <v>0</v>
      </c>
      <c r="AH41" s="187">
        <f>VLOOKUP($B41,REAL!$B$13:$AI$61,'Control Flujo de caja'!AH$16,FALSE)</f>
        <v>0</v>
      </c>
      <c r="AI41" s="199">
        <f t="shared" ref="AI41" si="53">AG41-AH41</f>
        <v>0</v>
      </c>
      <c r="AJ41" s="187">
        <f>VLOOKUP($B41,'FLUJO DE CAJA PROYECTADO '!$B$13:$AI$66,'Control Flujo de caja'!AJ$16,FALSE)</f>
        <v>0</v>
      </c>
      <c r="AK41" s="187">
        <f>VLOOKUP($B41,REAL!$B$13:$AI$61,'Control Flujo de caja'!AK$16,FALSE)</f>
        <v>0</v>
      </c>
      <c r="AL41" s="199">
        <f t="shared" ref="AL41" si="54">AJ41-AK41</f>
        <v>0</v>
      </c>
      <c r="AM41" s="187">
        <f>VLOOKUP($B41,'FLUJO DE CAJA PROYECTADO '!$B$13:$AN$66,'Control Flujo de caja'!AM$16,FALSE)</f>
        <v>823295</v>
      </c>
      <c r="AN41" s="187">
        <f>VLOOKUP($B41,REAL!$B$13:$AN$61,'Control Flujo de caja'!AN$16,FALSE)</f>
        <v>0</v>
      </c>
      <c r="AO41" s="199">
        <f t="shared" ref="AO41:AO42" si="55">AM41-AN41</f>
        <v>823295</v>
      </c>
      <c r="AP41" s="187">
        <f>VLOOKUP($B41,'FLUJO DE CAJA PROYECTADO '!$B$13:$AS$66,'Control Flujo de caja'!AP$16,FALSE)</f>
        <v>823295</v>
      </c>
      <c r="AQ41" s="187">
        <f>VLOOKUP($B41,REAL!$B$13:$AS$61,'Control Flujo de caja'!AQ$16,FALSE)</f>
        <v>0</v>
      </c>
      <c r="AR41" s="199">
        <f t="shared" ref="AR41" si="56">AP41-AQ41</f>
        <v>823295</v>
      </c>
      <c r="AV41" s="220"/>
      <c r="AW41" s="220"/>
      <c r="AX41" s="220"/>
    </row>
    <row r="42" spans="2:50" ht="14" customHeight="1" outlineLevel="4" x14ac:dyDescent="0.15">
      <c r="B42" s="267" t="s">
        <v>185</v>
      </c>
      <c r="C42" s="273" t="s">
        <v>186</v>
      </c>
      <c r="D42" s="274"/>
      <c r="E42" s="275">
        <v>0</v>
      </c>
      <c r="F42" s="186">
        <f>VLOOKUP(B42,'FLUJO DE CAJA PROYECTADO '!$B$13:$J$61,9,FALSE)</f>
        <v>3450000</v>
      </c>
      <c r="G42" s="187">
        <f>VLOOKUP(B42,'FLUJO DE CAJA PROYECTADO '!$B$13:$J$61,8,FALSE)</f>
        <v>17250000</v>
      </c>
      <c r="H42" s="199">
        <f t="shared" si="21"/>
        <v>-17250000</v>
      </c>
      <c r="J42" s="185">
        <f>VLOOKUP($B42,ASEGURADO!$B$3:$J$51,3,FALSE)</f>
        <v>0</v>
      </c>
      <c r="K42" s="186">
        <f>VLOOKUP(B42,ASEGURADO!$B$3:$J$52,9,FALSE)</f>
        <v>4000000</v>
      </c>
      <c r="L42" s="187">
        <f>VLOOKUP($B42,ASEGURADO!$B$3:$J$52,8,FALSE)</f>
        <v>20000000</v>
      </c>
      <c r="M42" s="199">
        <f t="shared" ref="M42" si="57">G42-L42</f>
        <v>-2750000</v>
      </c>
      <c r="P42" s="185">
        <f>VLOOKUP(B42,REAL!$B$13:$J$61,3,FALSE)</f>
        <v>4</v>
      </c>
      <c r="Q42" s="186">
        <f>VLOOKUP(B42,REAL!$B$13:$J$61,9,FALSE)</f>
        <v>3450000</v>
      </c>
      <c r="R42" s="187">
        <f>VLOOKUP(B42,REAL!$B$13:$J$61,8,FALSE)</f>
        <v>11093564</v>
      </c>
      <c r="S42" s="199">
        <f t="shared" si="7"/>
        <v>6156436</v>
      </c>
      <c r="U42" s="43"/>
      <c r="V42" s="276"/>
      <c r="X42" s="291">
        <f>IFERROR(VLOOKUP($B42,'FLUJO DE CAJA PROYECTADO '!$B$13:$AI$597,'Control Flujo de caja'!X$16,FALSE),0)</f>
        <v>0</v>
      </c>
      <c r="Y42" s="291">
        <f>VLOOKUP($B42,REAL!$B$13:$AI$61,'Control Flujo de caja'!Y$16,FALSE)</f>
        <v>0</v>
      </c>
      <c r="Z42" s="292">
        <f>X42-Y42</f>
        <v>0</v>
      </c>
      <c r="AA42" s="291">
        <f>IFERROR(VLOOKUP($B42,'FLUJO DE CAJA PROYECTADO '!$B$13:$AI$597,'Control Flujo de caja'!AA$16,FALSE),0)</f>
        <v>3450000</v>
      </c>
      <c r="AB42" s="291">
        <f>VLOOKUP($B42,REAL!$B$13:$AI$61,'Control Flujo de caja'!AB$16,FALSE)</f>
        <v>3847188</v>
      </c>
      <c r="AC42" s="292">
        <f>AA42-AB42</f>
        <v>-397188</v>
      </c>
      <c r="AD42" s="291">
        <f>IFERROR(VLOOKUP($B42,'FLUJO DE CAJA PROYECTADO '!$B$13:$AI$597,'Control Flujo de caja'!AD$16,FALSE),0)</f>
        <v>3450000</v>
      </c>
      <c r="AE42" s="291">
        <f>VLOOKUP($B42,REAL!$B$13:$AI$61,'Control Flujo de caja'!AE$16,FALSE)</f>
        <v>3623188</v>
      </c>
      <c r="AF42" s="292">
        <f>AD42-AE42</f>
        <v>-173188</v>
      </c>
      <c r="AG42" s="291">
        <f>IFERROR(VLOOKUP($B42,'FLUJO DE CAJA PROYECTADO '!$B$13:$AI$597,'Control Flujo de caja'!AG$16,FALSE),0)</f>
        <v>3450000</v>
      </c>
      <c r="AH42" s="291">
        <f>VLOOKUP($B42,REAL!$B$13:$AI$61,'Control Flujo de caja'!AH$16,FALSE)</f>
        <v>3623188</v>
      </c>
      <c r="AI42" s="292">
        <f>AG42-AH42</f>
        <v>-173188</v>
      </c>
      <c r="AJ42" s="291">
        <f>IFERROR(VLOOKUP($B42,'FLUJO DE CAJA PROYECTADO '!$B$13:$AI$597,'Control Flujo de caja'!AJ$16,FALSE),0)</f>
        <v>3450000</v>
      </c>
      <c r="AK42" s="291">
        <f>VLOOKUP($B42,REAL!$B$13:$AI$61,'Control Flujo de caja'!AK$16,FALSE)</f>
        <v>0</v>
      </c>
      <c r="AL42" s="292">
        <f>AJ42-AK42</f>
        <v>3450000</v>
      </c>
      <c r="AM42" s="187">
        <f>VLOOKUP($B42,'FLUJO DE CAJA PROYECTADO '!$B$13:$AN$66,'Control Flujo de caja'!AM$16,FALSE)</f>
        <v>3450000</v>
      </c>
      <c r="AN42" s="187">
        <f>VLOOKUP($B42,REAL!$B$13:$AN$61,'Control Flujo de caja'!AN$16,FALSE)</f>
        <v>0</v>
      </c>
      <c r="AO42" s="199">
        <f t="shared" si="55"/>
        <v>3450000</v>
      </c>
      <c r="AP42" s="187">
        <f>VLOOKUP($B42,'FLUJO DE CAJA PROYECTADO '!$B$13:$AS$66,'Control Flujo de caja'!AP$16,FALSE)</f>
        <v>3450000</v>
      </c>
      <c r="AQ42" s="187">
        <f>VLOOKUP($B42,REAL!$B$13:$AS$61,'Control Flujo de caja'!AQ$16,FALSE)</f>
        <v>0</v>
      </c>
      <c r="AR42" s="292">
        <f>AP42-AQ42</f>
        <v>3450000</v>
      </c>
      <c r="AV42" s="220"/>
      <c r="AW42" s="220"/>
      <c r="AX42" s="220"/>
    </row>
    <row r="43" spans="2:50" ht="14" customHeight="1" outlineLevel="2" x14ac:dyDescent="0.15">
      <c r="B43" s="44" t="s">
        <v>61</v>
      </c>
      <c r="C43" s="45" t="s">
        <v>62</v>
      </c>
      <c r="D43" s="181">
        <v>750834</v>
      </c>
      <c r="E43" s="182">
        <f t="shared" ref="E43:G43" si="58">SUM(E44:E52)</f>
        <v>17</v>
      </c>
      <c r="F43" s="183">
        <f t="shared" si="58"/>
        <v>661557</v>
      </c>
      <c r="G43" s="184">
        <f t="shared" si="58"/>
        <v>661557</v>
      </c>
      <c r="H43" s="350">
        <f t="shared" si="21"/>
        <v>89277</v>
      </c>
      <c r="J43" s="182">
        <f t="shared" ref="J43:M43" si="59">SUM(J44:J52)</f>
        <v>17</v>
      </c>
      <c r="K43" s="182">
        <f t="shared" si="59"/>
        <v>661557</v>
      </c>
      <c r="L43" s="182">
        <f t="shared" si="59"/>
        <v>0</v>
      </c>
      <c r="M43" s="198">
        <f t="shared" si="59"/>
        <v>661557</v>
      </c>
      <c r="P43" s="182">
        <f t="shared" ref="P43:R43" si="60">SUM(P44:P52)</f>
        <v>17</v>
      </c>
      <c r="Q43" s="183">
        <f t="shared" si="60"/>
        <v>661557</v>
      </c>
      <c r="R43" s="184">
        <f t="shared" si="60"/>
        <v>0</v>
      </c>
      <c r="S43" s="350">
        <f t="shared" si="7"/>
        <v>661557</v>
      </c>
      <c r="U43" s="43">
        <f>VLOOKUP(B43,Contabilidad!$B$3:$D$51,3,FALSE)</f>
        <v>0</v>
      </c>
      <c r="V43" s="198">
        <f t="shared" ref="V43" si="61">SUM(V44:V52)</f>
        <v>0</v>
      </c>
      <c r="X43" s="184">
        <f t="shared" ref="X43:Z43" si="62">SUM(X44:X52)</f>
        <v>661557</v>
      </c>
      <c r="Y43" s="184">
        <f t="shared" si="62"/>
        <v>0</v>
      </c>
      <c r="Z43" s="198">
        <f t="shared" si="62"/>
        <v>661557</v>
      </c>
      <c r="AA43" s="184">
        <f t="shared" ref="AA43:AB43" si="63">SUM(AA44:AA52)</f>
        <v>0</v>
      </c>
      <c r="AB43" s="184">
        <f t="shared" si="63"/>
        <v>0</v>
      </c>
      <c r="AC43" s="198">
        <f t="shared" ref="AC43:AO43" si="64">SUM(AC44:AC52)</f>
        <v>0</v>
      </c>
      <c r="AD43" s="184">
        <f t="shared" si="64"/>
        <v>0</v>
      </c>
      <c r="AE43" s="184">
        <f t="shared" si="64"/>
        <v>0</v>
      </c>
      <c r="AF43" s="198">
        <f t="shared" si="64"/>
        <v>0</v>
      </c>
      <c r="AG43" s="184">
        <f t="shared" si="64"/>
        <v>0</v>
      </c>
      <c r="AH43" s="184">
        <f t="shared" si="64"/>
        <v>0</v>
      </c>
      <c r="AI43" s="198">
        <f t="shared" si="64"/>
        <v>0</v>
      </c>
      <c r="AJ43" s="184">
        <f t="shared" si="64"/>
        <v>0</v>
      </c>
      <c r="AK43" s="184">
        <f t="shared" si="64"/>
        <v>0</v>
      </c>
      <c r="AL43" s="198">
        <f t="shared" si="64"/>
        <v>0</v>
      </c>
      <c r="AM43" s="184">
        <f t="shared" si="64"/>
        <v>0</v>
      </c>
      <c r="AN43" s="184">
        <f t="shared" si="64"/>
        <v>0</v>
      </c>
      <c r="AO43" s="198">
        <f t="shared" si="64"/>
        <v>0</v>
      </c>
      <c r="AP43" s="184">
        <f t="shared" ref="AP43:AR43" si="65">SUM(AP44:AP52)</f>
        <v>0</v>
      </c>
      <c r="AQ43" s="184">
        <f t="shared" si="65"/>
        <v>0</v>
      </c>
      <c r="AR43" s="198">
        <f t="shared" si="65"/>
        <v>0</v>
      </c>
      <c r="AV43" s="220"/>
      <c r="AW43" s="220"/>
      <c r="AX43" s="220"/>
    </row>
    <row r="44" spans="2:50" ht="14" customHeight="1" outlineLevel="3" x14ac:dyDescent="0.15">
      <c r="B44" s="53" t="s">
        <v>63</v>
      </c>
      <c r="C44" s="227" t="s">
        <v>64</v>
      </c>
      <c r="D44" s="228"/>
      <c r="E44" s="185">
        <f>VLOOKUP(B44,'FLUJO DE CAJA PROYECTADO '!$B$13:$J$61,3,FALSE)</f>
        <v>3</v>
      </c>
      <c r="F44" s="186">
        <f>VLOOKUP(B44,'FLUJO DE CAJA PROYECTADO '!$B$13:$J$61,9,FALSE)</f>
        <v>150000</v>
      </c>
      <c r="G44" s="187">
        <f>VLOOKUP(B44,'FLUJO DE CAJA PROYECTADO '!$B$13:$J$61,8,FALSE)</f>
        <v>150000</v>
      </c>
      <c r="H44" s="199">
        <f t="shared" si="21"/>
        <v>-150000</v>
      </c>
      <c r="J44" s="185">
        <f>VLOOKUP($B44,ASEGURADO!$B$3:$J$51,3,FALSE)</f>
        <v>3</v>
      </c>
      <c r="K44" s="186">
        <f>VLOOKUP(B44,ASEGURADO!$B$3:$J$52,9,FALSE)</f>
        <v>150000</v>
      </c>
      <c r="L44" s="187">
        <f>VLOOKUP($B44,ASEGURADO!$B$3:$J$52,8,FALSE)</f>
        <v>0</v>
      </c>
      <c r="M44" s="199">
        <f t="shared" ref="M44:M52" si="66">G44-L44</f>
        <v>150000</v>
      </c>
      <c r="P44" s="185">
        <f>VLOOKUP(B44,REAL!$B$13:$J$61,3,FALSE)</f>
        <v>3</v>
      </c>
      <c r="Q44" s="186">
        <f>VLOOKUP(B44,REAL!$B$13:$J$61,9,FALSE)</f>
        <v>150000</v>
      </c>
      <c r="R44" s="187">
        <f>VLOOKUP(B44,REAL!$B$13:$J$61,8,FALSE)</f>
        <v>0</v>
      </c>
      <c r="S44" s="199">
        <f t="shared" si="7"/>
        <v>150000</v>
      </c>
      <c r="U44" s="43">
        <f>VLOOKUP(B44,Contabilidad!$B$3:$D$51,3,FALSE)</f>
        <v>0</v>
      </c>
      <c r="V44" s="199">
        <f t="shared" ref="V44:V52" si="67">R44-U44</f>
        <v>0</v>
      </c>
      <c r="X44" s="187">
        <f>VLOOKUP($B44,'FLUJO DE CAJA PROYECTADO '!$B$13:$AI$66,'Control Flujo de caja'!X$16,FALSE)</f>
        <v>150000</v>
      </c>
      <c r="Y44" s="187">
        <f>VLOOKUP($B44,REAL!$B$13:$AI$61,'Control Flujo de caja'!Y$16,FALSE)</f>
        <v>0</v>
      </c>
      <c r="Z44" s="199">
        <f t="shared" si="24"/>
        <v>150000</v>
      </c>
      <c r="AA44" s="187">
        <f>VLOOKUP($B44,'FLUJO DE CAJA PROYECTADO '!$B$13:$AI$66,'Control Flujo de caja'!AA$16,FALSE)</f>
        <v>0</v>
      </c>
      <c r="AB44" s="187">
        <f>VLOOKUP($B44,REAL!$B$13:$AI$61,'Control Flujo de caja'!AB$16,FALSE)</f>
        <v>0</v>
      </c>
      <c r="AC44" s="199">
        <f t="shared" ref="AC44:AC52" si="68">AA44-AB44</f>
        <v>0</v>
      </c>
      <c r="AD44" s="187">
        <f>VLOOKUP($B44,'FLUJO DE CAJA PROYECTADO '!$B$13:$AI$66,'Control Flujo de caja'!AD$16,FALSE)</f>
        <v>0</v>
      </c>
      <c r="AE44" s="187">
        <f>VLOOKUP($B44,REAL!$B$13:$AI$61,'Control Flujo de caja'!AE$16,FALSE)</f>
        <v>0</v>
      </c>
      <c r="AF44" s="199">
        <f t="shared" ref="AF44:AF52" si="69">AD44-AE44</f>
        <v>0</v>
      </c>
      <c r="AG44" s="187">
        <f>VLOOKUP($B44,'FLUJO DE CAJA PROYECTADO '!$B$13:$AI$66,'Control Flujo de caja'!AG$16,FALSE)</f>
        <v>0</v>
      </c>
      <c r="AH44" s="187">
        <f>VLOOKUP($B44,REAL!$B$13:$AI$61,'Control Flujo de caja'!AH$16,FALSE)</f>
        <v>0</v>
      </c>
      <c r="AI44" s="199">
        <f t="shared" ref="AI44:AI52" si="70">AG44-AH44</f>
        <v>0</v>
      </c>
      <c r="AJ44" s="187">
        <f>VLOOKUP($B44,'FLUJO DE CAJA PROYECTADO '!$B$13:$AI$66,'Control Flujo de caja'!AJ$16,FALSE)</f>
        <v>0</v>
      </c>
      <c r="AK44" s="187">
        <f>VLOOKUP($B44,REAL!$B$13:$AI$61,'Control Flujo de caja'!AK$16,FALSE)</f>
        <v>0</v>
      </c>
      <c r="AL44" s="199">
        <f t="shared" ref="AL44:AL52" si="71">AJ44-AK44</f>
        <v>0</v>
      </c>
      <c r="AM44" s="187">
        <f>VLOOKUP($B44,'FLUJO DE CAJA PROYECTADO '!$B$13:$AN$66,'Control Flujo de caja'!AM$16,FALSE)</f>
        <v>0</v>
      </c>
      <c r="AN44" s="187">
        <f>VLOOKUP($B44,REAL!$B$13:$AN$61,'Control Flujo de caja'!AN$16,FALSE)</f>
        <v>0</v>
      </c>
      <c r="AO44" s="199">
        <f t="shared" ref="AO44:AO51" si="72">AM44-AN44</f>
        <v>0</v>
      </c>
      <c r="AP44" s="187">
        <f>VLOOKUP($B44,'FLUJO DE CAJA PROYECTADO '!$B$13:$AS$66,'Control Flujo de caja'!AP$16,FALSE)</f>
        <v>0</v>
      </c>
      <c r="AQ44" s="187">
        <f>VLOOKUP($B44,REAL!$B$13:$AS$61,'Control Flujo de caja'!AQ$16,FALSE)</f>
        <v>0</v>
      </c>
      <c r="AR44" s="199">
        <f t="shared" ref="AR44:AR52" si="73">AP44-AQ44</f>
        <v>0</v>
      </c>
      <c r="AV44" s="220"/>
      <c r="AW44" s="220"/>
      <c r="AX44" s="220"/>
    </row>
    <row r="45" spans="2:50" ht="14" customHeight="1" outlineLevel="4" x14ac:dyDescent="0.15">
      <c r="B45" s="53" t="s">
        <v>66</v>
      </c>
      <c r="C45" s="223" t="s">
        <v>67</v>
      </c>
      <c r="D45" s="224"/>
      <c r="E45" s="185">
        <f>VLOOKUP(B45,'FLUJO DE CAJA PROYECTADO '!$B$13:$J$61,3,FALSE)</f>
        <v>1</v>
      </c>
      <c r="F45" s="186">
        <f>VLOOKUP(B45,'FLUJO DE CAJA PROYECTADO '!$B$13:$J$61,9,FALSE)</f>
        <v>17850</v>
      </c>
      <c r="G45" s="187">
        <f>VLOOKUP(B45,'FLUJO DE CAJA PROYECTADO '!$B$13:$J$61,8,FALSE)</f>
        <v>17850</v>
      </c>
      <c r="H45" s="199">
        <f t="shared" si="21"/>
        <v>-17850</v>
      </c>
      <c r="J45" s="185">
        <f>VLOOKUP($B45,ASEGURADO!$B$3:$J$51,3,FALSE)</f>
        <v>1</v>
      </c>
      <c r="K45" s="186">
        <f>VLOOKUP(B45,ASEGURADO!$B$3:$J$52,9,FALSE)</f>
        <v>17850</v>
      </c>
      <c r="L45" s="187">
        <f>VLOOKUP($B45,ASEGURADO!$B$3:$J$52,8,FALSE)</f>
        <v>0</v>
      </c>
      <c r="M45" s="199">
        <f t="shared" si="66"/>
        <v>17850</v>
      </c>
      <c r="P45" s="185">
        <f>VLOOKUP(B45,REAL!$B$13:$J$61,3,FALSE)</f>
        <v>1</v>
      </c>
      <c r="Q45" s="186">
        <f>VLOOKUP(B45,REAL!$B$13:$J$61,9,FALSE)</f>
        <v>17850</v>
      </c>
      <c r="R45" s="187">
        <f>VLOOKUP(B45,REAL!$B$13:$J$61,8,FALSE)</f>
        <v>0</v>
      </c>
      <c r="S45" s="199">
        <f t="shared" si="7"/>
        <v>17850</v>
      </c>
      <c r="U45" s="43">
        <f>VLOOKUP(B45,Contabilidad!$B$3:$D$51,3,FALSE)</f>
        <v>0</v>
      </c>
      <c r="V45" s="199">
        <f t="shared" si="67"/>
        <v>0</v>
      </c>
      <c r="X45" s="187">
        <f>VLOOKUP($B45,'FLUJO DE CAJA PROYECTADO '!$B$13:$AI$66,'Control Flujo de caja'!X$16,FALSE)</f>
        <v>17850</v>
      </c>
      <c r="Y45" s="187">
        <f>VLOOKUP($B45,REAL!$B$13:$AI$61,'Control Flujo de caja'!Y$16,FALSE)</f>
        <v>0</v>
      </c>
      <c r="Z45" s="199">
        <f t="shared" si="24"/>
        <v>17850</v>
      </c>
      <c r="AA45" s="187">
        <f>VLOOKUP($B45,'FLUJO DE CAJA PROYECTADO '!$B$13:$AI$66,'Control Flujo de caja'!AA$16,FALSE)</f>
        <v>0</v>
      </c>
      <c r="AB45" s="187">
        <f>VLOOKUP($B45,REAL!$B$13:$AI$61,'Control Flujo de caja'!AB$16,FALSE)</f>
        <v>0</v>
      </c>
      <c r="AC45" s="199">
        <f t="shared" si="68"/>
        <v>0</v>
      </c>
      <c r="AD45" s="187">
        <f>VLOOKUP($B45,'FLUJO DE CAJA PROYECTADO '!$B$13:$AI$66,'Control Flujo de caja'!AD$16,FALSE)</f>
        <v>0</v>
      </c>
      <c r="AE45" s="187">
        <f>VLOOKUP($B45,REAL!$B$13:$AI$61,'Control Flujo de caja'!AE$16,FALSE)</f>
        <v>0</v>
      </c>
      <c r="AF45" s="199">
        <f t="shared" si="69"/>
        <v>0</v>
      </c>
      <c r="AG45" s="187">
        <f>VLOOKUP($B45,'FLUJO DE CAJA PROYECTADO '!$B$13:$AI$66,'Control Flujo de caja'!AG$16,FALSE)</f>
        <v>0</v>
      </c>
      <c r="AH45" s="187">
        <f>VLOOKUP($B45,REAL!$B$13:$AI$61,'Control Flujo de caja'!AH$16,FALSE)</f>
        <v>0</v>
      </c>
      <c r="AI45" s="199">
        <f t="shared" si="70"/>
        <v>0</v>
      </c>
      <c r="AJ45" s="187">
        <f>VLOOKUP($B45,'FLUJO DE CAJA PROYECTADO '!$B$13:$AI$66,'Control Flujo de caja'!AJ$16,FALSE)</f>
        <v>0</v>
      </c>
      <c r="AK45" s="187">
        <f>VLOOKUP($B45,REAL!$B$13:$AI$61,'Control Flujo de caja'!AK$16,FALSE)</f>
        <v>0</v>
      </c>
      <c r="AL45" s="199">
        <f t="shared" si="71"/>
        <v>0</v>
      </c>
      <c r="AM45" s="187">
        <f>VLOOKUP($B45,'FLUJO DE CAJA PROYECTADO '!$B$13:$AN$66,'Control Flujo de caja'!AM$16,FALSE)</f>
        <v>0</v>
      </c>
      <c r="AN45" s="187">
        <f>VLOOKUP($B45,REAL!$B$13:$AN$61,'Control Flujo de caja'!AN$16,FALSE)</f>
        <v>0</v>
      </c>
      <c r="AO45" s="199">
        <f t="shared" si="72"/>
        <v>0</v>
      </c>
      <c r="AP45" s="187">
        <f>VLOOKUP($B45,'FLUJO DE CAJA PROYECTADO '!$B$13:$AS$66,'Control Flujo de caja'!AP$16,FALSE)</f>
        <v>0</v>
      </c>
      <c r="AQ45" s="187">
        <f>VLOOKUP($B45,REAL!$B$13:$AS$61,'Control Flujo de caja'!AQ$16,FALSE)</f>
        <v>0</v>
      </c>
      <c r="AR45" s="199">
        <f t="shared" si="73"/>
        <v>0</v>
      </c>
      <c r="AV45" s="220"/>
      <c r="AW45" s="220"/>
      <c r="AX45" s="220"/>
    </row>
    <row r="46" spans="2:50" ht="14" customHeight="1" outlineLevel="2" x14ac:dyDescent="0.15">
      <c r="B46" s="53" t="s">
        <v>68</v>
      </c>
      <c r="C46" s="223" t="s">
        <v>69</v>
      </c>
      <c r="D46" s="224"/>
      <c r="E46" s="185">
        <f>VLOOKUP(B46,'FLUJO DE CAJA PROYECTADO '!$B$13:$J$61,3,FALSE)</f>
        <v>3</v>
      </c>
      <c r="F46" s="186">
        <f>VLOOKUP(B46,'FLUJO DE CAJA PROYECTADO '!$B$13:$J$61,9,FALSE)</f>
        <v>4341</v>
      </c>
      <c r="G46" s="187">
        <f>VLOOKUP(B46,'FLUJO DE CAJA PROYECTADO '!$B$13:$J$61,8,FALSE)</f>
        <v>4341</v>
      </c>
      <c r="H46" s="199">
        <f t="shared" si="21"/>
        <v>-4341</v>
      </c>
      <c r="J46" s="185">
        <f>VLOOKUP($B46,ASEGURADO!$B$3:$J$51,3,FALSE)</f>
        <v>3</v>
      </c>
      <c r="K46" s="186">
        <f>VLOOKUP(B46,ASEGURADO!$B$3:$J$52,9,FALSE)</f>
        <v>4341</v>
      </c>
      <c r="L46" s="187">
        <f>VLOOKUP($B46,ASEGURADO!$B$3:$J$52,8,FALSE)</f>
        <v>0</v>
      </c>
      <c r="M46" s="199">
        <f t="shared" si="66"/>
        <v>4341</v>
      </c>
      <c r="P46" s="185">
        <f>VLOOKUP(B46,REAL!$B$13:$J$61,3,FALSE)</f>
        <v>3</v>
      </c>
      <c r="Q46" s="186">
        <f>VLOOKUP(B46,REAL!$B$13:$J$61,9,FALSE)</f>
        <v>4341</v>
      </c>
      <c r="R46" s="187">
        <f>VLOOKUP(B46,REAL!$B$13:$J$61,8,FALSE)</f>
        <v>0</v>
      </c>
      <c r="S46" s="199">
        <f t="shared" si="7"/>
        <v>4341</v>
      </c>
      <c r="U46" s="43">
        <f>VLOOKUP(B46,Contabilidad!$B$3:$D$51,3,FALSE)</f>
        <v>0</v>
      </c>
      <c r="V46" s="199">
        <f t="shared" si="67"/>
        <v>0</v>
      </c>
      <c r="X46" s="187">
        <f>VLOOKUP($B46,'FLUJO DE CAJA PROYECTADO '!$B$13:$AI$66,'Control Flujo de caja'!X$16,FALSE)</f>
        <v>4341</v>
      </c>
      <c r="Y46" s="187">
        <f>VLOOKUP($B46,REAL!$B$13:$AI$61,'Control Flujo de caja'!Y$16,FALSE)</f>
        <v>0</v>
      </c>
      <c r="Z46" s="199">
        <f t="shared" si="24"/>
        <v>4341</v>
      </c>
      <c r="AA46" s="187">
        <f>VLOOKUP($B46,'FLUJO DE CAJA PROYECTADO '!$B$13:$AI$66,'Control Flujo de caja'!AA$16,FALSE)</f>
        <v>0</v>
      </c>
      <c r="AB46" s="187">
        <f>VLOOKUP($B46,REAL!$B$13:$AI$61,'Control Flujo de caja'!AB$16,FALSE)</f>
        <v>0</v>
      </c>
      <c r="AC46" s="199">
        <f t="shared" si="68"/>
        <v>0</v>
      </c>
      <c r="AD46" s="187">
        <f>VLOOKUP($B46,'FLUJO DE CAJA PROYECTADO '!$B$13:$AI$66,'Control Flujo de caja'!AD$16,FALSE)</f>
        <v>0</v>
      </c>
      <c r="AE46" s="187">
        <f>VLOOKUP($B46,REAL!$B$13:$AI$61,'Control Flujo de caja'!AE$16,FALSE)</f>
        <v>0</v>
      </c>
      <c r="AF46" s="199">
        <f t="shared" si="69"/>
        <v>0</v>
      </c>
      <c r="AG46" s="187">
        <f>VLOOKUP($B46,'FLUJO DE CAJA PROYECTADO '!$B$13:$AI$66,'Control Flujo de caja'!AG$16,FALSE)</f>
        <v>0</v>
      </c>
      <c r="AH46" s="187">
        <f>VLOOKUP($B46,REAL!$B$13:$AI$61,'Control Flujo de caja'!AH$16,FALSE)</f>
        <v>0</v>
      </c>
      <c r="AI46" s="199">
        <f t="shared" si="70"/>
        <v>0</v>
      </c>
      <c r="AJ46" s="187">
        <f>VLOOKUP($B46,'FLUJO DE CAJA PROYECTADO '!$B$13:$AI$66,'Control Flujo de caja'!AJ$16,FALSE)</f>
        <v>0</v>
      </c>
      <c r="AK46" s="187">
        <f>VLOOKUP($B46,REAL!$B$13:$AI$61,'Control Flujo de caja'!AK$16,FALSE)</f>
        <v>0</v>
      </c>
      <c r="AL46" s="199">
        <f t="shared" si="71"/>
        <v>0</v>
      </c>
      <c r="AM46" s="187">
        <f>VLOOKUP($B46,'FLUJO DE CAJA PROYECTADO '!$B$13:$AN$66,'Control Flujo de caja'!AM$16,FALSE)</f>
        <v>0</v>
      </c>
      <c r="AN46" s="187">
        <f>VLOOKUP($B46,REAL!$B$13:$AN$61,'Control Flujo de caja'!AN$16,FALSE)</f>
        <v>0</v>
      </c>
      <c r="AO46" s="199">
        <f t="shared" si="72"/>
        <v>0</v>
      </c>
      <c r="AP46" s="187">
        <f>VLOOKUP($B46,'FLUJO DE CAJA PROYECTADO '!$B$13:$AS$66,'Control Flujo de caja'!AP$16,FALSE)</f>
        <v>0</v>
      </c>
      <c r="AQ46" s="187">
        <f>VLOOKUP($B46,REAL!$B$13:$AS$61,'Control Flujo de caja'!AQ$16,FALSE)</f>
        <v>0</v>
      </c>
      <c r="AR46" s="199">
        <f t="shared" si="73"/>
        <v>0</v>
      </c>
      <c r="AV46" s="220"/>
      <c r="AW46" s="220"/>
      <c r="AX46" s="220"/>
    </row>
    <row r="47" spans="2:50" ht="14" customHeight="1" outlineLevel="3" x14ac:dyDescent="0.15">
      <c r="B47" s="53" t="s">
        <v>70</v>
      </c>
      <c r="C47" s="223" t="s">
        <v>71</v>
      </c>
      <c r="D47" s="224"/>
      <c r="E47" s="185">
        <f>VLOOKUP(B47,'FLUJO DE CAJA PROYECTADO '!$B$13:$J$61,3,FALSE)</f>
        <v>3</v>
      </c>
      <c r="F47" s="186">
        <f>VLOOKUP(B47,'FLUJO DE CAJA PROYECTADO '!$B$13:$J$61,9,FALSE)</f>
        <v>23324</v>
      </c>
      <c r="G47" s="187">
        <f>VLOOKUP(B47,'FLUJO DE CAJA PROYECTADO '!$B$13:$J$61,8,FALSE)</f>
        <v>23324</v>
      </c>
      <c r="H47" s="199">
        <f t="shared" si="21"/>
        <v>-23324</v>
      </c>
      <c r="J47" s="185">
        <f>VLOOKUP($B47,ASEGURADO!$B$3:$J$51,3,FALSE)</f>
        <v>3</v>
      </c>
      <c r="K47" s="186">
        <f>VLOOKUP(B47,ASEGURADO!$B$3:$J$52,9,FALSE)</f>
        <v>23324</v>
      </c>
      <c r="L47" s="187">
        <f>VLOOKUP($B47,ASEGURADO!$B$3:$J$52,8,FALSE)</f>
        <v>0</v>
      </c>
      <c r="M47" s="199">
        <f t="shared" si="66"/>
        <v>23324</v>
      </c>
      <c r="P47" s="185">
        <f>VLOOKUP(B47,REAL!$B$13:$J$61,3,FALSE)</f>
        <v>3</v>
      </c>
      <c r="Q47" s="186">
        <f>VLOOKUP(B47,REAL!$B$13:$J$61,9,FALSE)</f>
        <v>23324</v>
      </c>
      <c r="R47" s="187">
        <f>VLOOKUP(B47,REAL!$B$13:$J$61,8,FALSE)</f>
        <v>0</v>
      </c>
      <c r="S47" s="199">
        <f t="shared" si="7"/>
        <v>23324</v>
      </c>
      <c r="U47" s="43">
        <f>VLOOKUP(B47,Contabilidad!$B$3:$D$51,3,FALSE)</f>
        <v>0</v>
      </c>
      <c r="V47" s="199">
        <f t="shared" si="67"/>
        <v>0</v>
      </c>
      <c r="X47" s="187">
        <f>VLOOKUP($B47,'FLUJO DE CAJA PROYECTADO '!$B$13:$AI$66,'Control Flujo de caja'!X$16,FALSE)</f>
        <v>23324</v>
      </c>
      <c r="Y47" s="187">
        <f>VLOOKUP($B47,REAL!$B$13:$AI$61,'Control Flujo de caja'!Y$16,FALSE)</f>
        <v>0</v>
      </c>
      <c r="Z47" s="199">
        <f t="shared" si="24"/>
        <v>23324</v>
      </c>
      <c r="AA47" s="187">
        <f>VLOOKUP($B47,'FLUJO DE CAJA PROYECTADO '!$B$13:$AI$66,'Control Flujo de caja'!AA$16,FALSE)</f>
        <v>0</v>
      </c>
      <c r="AB47" s="187">
        <f>VLOOKUP($B47,REAL!$B$13:$AI$61,'Control Flujo de caja'!AB$16,FALSE)</f>
        <v>0</v>
      </c>
      <c r="AC47" s="199">
        <f t="shared" si="68"/>
        <v>0</v>
      </c>
      <c r="AD47" s="187">
        <f>VLOOKUP($B47,'FLUJO DE CAJA PROYECTADO '!$B$13:$AI$66,'Control Flujo de caja'!AD$16,FALSE)</f>
        <v>0</v>
      </c>
      <c r="AE47" s="187">
        <f>VLOOKUP($B47,REAL!$B$13:$AI$61,'Control Flujo de caja'!AE$16,FALSE)</f>
        <v>0</v>
      </c>
      <c r="AF47" s="199">
        <f t="shared" si="69"/>
        <v>0</v>
      </c>
      <c r="AG47" s="187">
        <f>VLOOKUP($B47,'FLUJO DE CAJA PROYECTADO '!$B$13:$AI$66,'Control Flujo de caja'!AG$16,FALSE)</f>
        <v>0</v>
      </c>
      <c r="AH47" s="187">
        <f>VLOOKUP($B47,REAL!$B$13:$AI$61,'Control Flujo de caja'!AH$16,FALSE)</f>
        <v>0</v>
      </c>
      <c r="AI47" s="199">
        <f t="shared" si="70"/>
        <v>0</v>
      </c>
      <c r="AJ47" s="187">
        <f>VLOOKUP($B47,'FLUJO DE CAJA PROYECTADO '!$B$13:$AI$66,'Control Flujo de caja'!AJ$16,FALSE)</f>
        <v>0</v>
      </c>
      <c r="AK47" s="187">
        <f>VLOOKUP($B47,REAL!$B$13:$AI$61,'Control Flujo de caja'!AK$16,FALSE)</f>
        <v>0</v>
      </c>
      <c r="AL47" s="199">
        <f t="shared" si="71"/>
        <v>0</v>
      </c>
      <c r="AM47" s="187">
        <f>VLOOKUP($B47,'FLUJO DE CAJA PROYECTADO '!$B$13:$AN$66,'Control Flujo de caja'!AM$16,FALSE)</f>
        <v>0</v>
      </c>
      <c r="AN47" s="187">
        <f>VLOOKUP($B47,REAL!$B$13:$AN$61,'Control Flujo de caja'!AN$16,FALSE)</f>
        <v>0</v>
      </c>
      <c r="AO47" s="199">
        <f t="shared" si="72"/>
        <v>0</v>
      </c>
      <c r="AP47" s="187">
        <f>VLOOKUP($B47,'FLUJO DE CAJA PROYECTADO '!$B$13:$AS$66,'Control Flujo de caja'!AP$16,FALSE)</f>
        <v>0</v>
      </c>
      <c r="AQ47" s="187">
        <f>VLOOKUP($B47,REAL!$B$13:$AS$61,'Control Flujo de caja'!AQ$16,FALSE)</f>
        <v>0</v>
      </c>
      <c r="AR47" s="199">
        <f t="shared" si="73"/>
        <v>0</v>
      </c>
      <c r="AV47" s="220"/>
      <c r="AW47" s="220"/>
      <c r="AX47" s="220"/>
    </row>
    <row r="48" spans="2:50" ht="14" customHeight="1" outlineLevel="4" x14ac:dyDescent="0.15">
      <c r="B48" s="53" t="s">
        <v>72</v>
      </c>
      <c r="C48" s="223" t="s">
        <v>73</v>
      </c>
      <c r="D48" s="224"/>
      <c r="E48" s="185">
        <f>VLOOKUP(B48,'FLUJO DE CAJA PROYECTADO '!$B$13:$J$61,3,FALSE)</f>
        <v>1</v>
      </c>
      <c r="F48" s="186">
        <f>VLOOKUP(B48,'FLUJO DE CAJA PROYECTADO '!$B$13:$J$61,9,FALSE)</f>
        <v>66640</v>
      </c>
      <c r="G48" s="187">
        <f>VLOOKUP(B48,'FLUJO DE CAJA PROYECTADO '!$B$13:$J$61,8,FALSE)</f>
        <v>66640</v>
      </c>
      <c r="H48" s="199">
        <f t="shared" si="21"/>
        <v>-66640</v>
      </c>
      <c r="J48" s="185">
        <f>VLOOKUP($B48,ASEGURADO!$B$3:$J$51,3,FALSE)</f>
        <v>1</v>
      </c>
      <c r="K48" s="186">
        <f>VLOOKUP(B48,ASEGURADO!$B$3:$J$52,9,FALSE)</f>
        <v>66640</v>
      </c>
      <c r="L48" s="187">
        <f>VLOOKUP($B48,ASEGURADO!$B$3:$J$52,8,FALSE)</f>
        <v>0</v>
      </c>
      <c r="M48" s="199">
        <f t="shared" si="66"/>
        <v>66640</v>
      </c>
      <c r="P48" s="185">
        <f>VLOOKUP(B48,REAL!$B$13:$J$61,3,FALSE)</f>
        <v>1</v>
      </c>
      <c r="Q48" s="186">
        <f>VLOOKUP(B48,REAL!$B$13:$J$61,9,FALSE)</f>
        <v>66640</v>
      </c>
      <c r="R48" s="187">
        <f>VLOOKUP(B48,REAL!$B$13:$J$61,8,FALSE)</f>
        <v>0</v>
      </c>
      <c r="S48" s="199">
        <f t="shared" si="7"/>
        <v>66640</v>
      </c>
      <c r="U48" s="43">
        <f>VLOOKUP(B48,Contabilidad!$B$3:$D$51,3,FALSE)</f>
        <v>0</v>
      </c>
      <c r="V48" s="199">
        <f t="shared" si="67"/>
        <v>0</v>
      </c>
      <c r="X48" s="187">
        <f>VLOOKUP($B48,'FLUJO DE CAJA PROYECTADO '!$B$13:$AI$66,'Control Flujo de caja'!X$16,FALSE)</f>
        <v>66640</v>
      </c>
      <c r="Y48" s="187">
        <f>VLOOKUP($B48,REAL!$B$13:$AI$61,'Control Flujo de caja'!Y$16,FALSE)</f>
        <v>0</v>
      </c>
      <c r="Z48" s="199">
        <f t="shared" si="24"/>
        <v>66640</v>
      </c>
      <c r="AA48" s="187">
        <f>VLOOKUP($B48,'FLUJO DE CAJA PROYECTADO '!$B$13:$AI$66,'Control Flujo de caja'!AA$16,FALSE)</f>
        <v>0</v>
      </c>
      <c r="AB48" s="187">
        <f>VLOOKUP($B48,REAL!$B$13:$AI$61,'Control Flujo de caja'!AB$16,FALSE)</f>
        <v>0</v>
      </c>
      <c r="AC48" s="199">
        <f t="shared" si="68"/>
        <v>0</v>
      </c>
      <c r="AD48" s="187">
        <f>VLOOKUP($B48,'FLUJO DE CAJA PROYECTADO '!$B$13:$AI$66,'Control Flujo de caja'!AD$16,FALSE)</f>
        <v>0</v>
      </c>
      <c r="AE48" s="187">
        <f>VLOOKUP($B48,REAL!$B$13:$AI$61,'Control Flujo de caja'!AE$16,FALSE)</f>
        <v>0</v>
      </c>
      <c r="AF48" s="199">
        <f t="shared" si="69"/>
        <v>0</v>
      </c>
      <c r="AG48" s="187">
        <f>VLOOKUP($B48,'FLUJO DE CAJA PROYECTADO '!$B$13:$AI$66,'Control Flujo de caja'!AG$16,FALSE)</f>
        <v>0</v>
      </c>
      <c r="AH48" s="187">
        <f>VLOOKUP($B48,REAL!$B$13:$AI$61,'Control Flujo de caja'!AH$16,FALSE)</f>
        <v>0</v>
      </c>
      <c r="AI48" s="199">
        <f t="shared" si="70"/>
        <v>0</v>
      </c>
      <c r="AJ48" s="187">
        <f>VLOOKUP($B48,'FLUJO DE CAJA PROYECTADO '!$B$13:$AI$66,'Control Flujo de caja'!AJ$16,FALSE)</f>
        <v>0</v>
      </c>
      <c r="AK48" s="187">
        <f>VLOOKUP($B48,REAL!$B$13:$AI$61,'Control Flujo de caja'!AK$16,FALSE)</f>
        <v>0</v>
      </c>
      <c r="AL48" s="199">
        <f t="shared" si="71"/>
        <v>0</v>
      </c>
      <c r="AM48" s="187">
        <f>VLOOKUP($B48,'FLUJO DE CAJA PROYECTADO '!$B$13:$AN$66,'Control Flujo de caja'!AM$16,FALSE)</f>
        <v>0</v>
      </c>
      <c r="AN48" s="187">
        <f>VLOOKUP($B48,REAL!$B$13:$AN$61,'Control Flujo de caja'!AN$16,FALSE)</f>
        <v>0</v>
      </c>
      <c r="AO48" s="199">
        <f t="shared" si="72"/>
        <v>0</v>
      </c>
      <c r="AP48" s="187">
        <f>VLOOKUP($B48,'FLUJO DE CAJA PROYECTADO '!$B$13:$AS$66,'Control Flujo de caja'!AP$16,FALSE)</f>
        <v>0</v>
      </c>
      <c r="AQ48" s="187">
        <f>VLOOKUP($B48,REAL!$B$13:$AS$61,'Control Flujo de caja'!AQ$16,FALSE)</f>
        <v>0</v>
      </c>
      <c r="AR48" s="199">
        <f t="shared" si="73"/>
        <v>0</v>
      </c>
      <c r="AV48" s="220"/>
      <c r="AW48" s="220"/>
      <c r="AX48" s="220"/>
    </row>
    <row r="49" spans="2:50" ht="14" customHeight="1" outlineLevel="4" x14ac:dyDescent="0.15">
      <c r="B49" s="53" t="s">
        <v>74</v>
      </c>
      <c r="C49" s="223" t="s">
        <v>75</v>
      </c>
      <c r="D49" s="224"/>
      <c r="E49" s="185">
        <f>VLOOKUP(B49,'FLUJO DE CAJA PROYECTADO '!$B$13:$J$61,3,FALSE)</f>
        <v>1</v>
      </c>
      <c r="F49" s="186">
        <f>VLOOKUP(B49,'FLUJO DE CAJA PROYECTADO '!$B$13:$J$61,9,FALSE)</f>
        <v>116739</v>
      </c>
      <c r="G49" s="187">
        <f>VLOOKUP(B49,'FLUJO DE CAJA PROYECTADO '!$B$13:$J$61,8,FALSE)</f>
        <v>116739</v>
      </c>
      <c r="H49" s="199">
        <f t="shared" si="21"/>
        <v>-116739</v>
      </c>
      <c r="J49" s="185">
        <f>VLOOKUP($B49,ASEGURADO!$B$3:$J$51,3,FALSE)</f>
        <v>1</v>
      </c>
      <c r="K49" s="186">
        <f>VLOOKUP(B49,ASEGURADO!$B$3:$J$52,9,FALSE)</f>
        <v>116739</v>
      </c>
      <c r="L49" s="187">
        <f>VLOOKUP($B49,ASEGURADO!$B$3:$J$52,8,FALSE)</f>
        <v>0</v>
      </c>
      <c r="M49" s="199">
        <f t="shared" si="66"/>
        <v>116739</v>
      </c>
      <c r="P49" s="185">
        <f>VLOOKUP(B49,REAL!$B$13:$J$61,3,FALSE)</f>
        <v>1</v>
      </c>
      <c r="Q49" s="186">
        <f>VLOOKUP(B49,REAL!$B$13:$J$61,9,FALSE)</f>
        <v>116739</v>
      </c>
      <c r="R49" s="187">
        <f>VLOOKUP(B49,REAL!$B$13:$J$61,8,FALSE)</f>
        <v>0</v>
      </c>
      <c r="S49" s="199">
        <f t="shared" si="7"/>
        <v>116739</v>
      </c>
      <c r="U49" s="43">
        <f>VLOOKUP(B49,Contabilidad!$B$3:$D$51,3,FALSE)</f>
        <v>0</v>
      </c>
      <c r="V49" s="199">
        <f t="shared" si="67"/>
        <v>0</v>
      </c>
      <c r="X49" s="187">
        <f>VLOOKUP($B49,'FLUJO DE CAJA PROYECTADO '!$B$13:$AI$66,'Control Flujo de caja'!X$16,FALSE)</f>
        <v>116739</v>
      </c>
      <c r="Y49" s="187">
        <f>VLOOKUP($B49,REAL!$B$13:$AI$61,'Control Flujo de caja'!Y$16,FALSE)</f>
        <v>0</v>
      </c>
      <c r="Z49" s="199">
        <f t="shared" si="24"/>
        <v>116739</v>
      </c>
      <c r="AA49" s="187">
        <f>VLOOKUP($B49,'FLUJO DE CAJA PROYECTADO '!$B$13:$AI$66,'Control Flujo de caja'!AA$16,FALSE)</f>
        <v>0</v>
      </c>
      <c r="AB49" s="187">
        <f>VLOOKUP($B49,REAL!$B$13:$AI$61,'Control Flujo de caja'!AB$16,FALSE)</f>
        <v>0</v>
      </c>
      <c r="AC49" s="199">
        <f t="shared" si="68"/>
        <v>0</v>
      </c>
      <c r="AD49" s="187">
        <f>VLOOKUP($B49,'FLUJO DE CAJA PROYECTADO '!$B$13:$AI$66,'Control Flujo de caja'!AD$16,FALSE)</f>
        <v>0</v>
      </c>
      <c r="AE49" s="187">
        <f>VLOOKUP($B49,REAL!$B$13:$AI$61,'Control Flujo de caja'!AE$16,FALSE)</f>
        <v>0</v>
      </c>
      <c r="AF49" s="199">
        <f t="shared" si="69"/>
        <v>0</v>
      </c>
      <c r="AG49" s="187">
        <f>VLOOKUP($B49,'FLUJO DE CAJA PROYECTADO '!$B$13:$AI$66,'Control Flujo de caja'!AG$16,FALSE)</f>
        <v>0</v>
      </c>
      <c r="AH49" s="187">
        <f>VLOOKUP($B49,REAL!$B$13:$AI$61,'Control Flujo de caja'!AH$16,FALSE)</f>
        <v>0</v>
      </c>
      <c r="AI49" s="199">
        <f t="shared" si="70"/>
        <v>0</v>
      </c>
      <c r="AJ49" s="187">
        <f>VLOOKUP($B49,'FLUJO DE CAJA PROYECTADO '!$B$13:$AI$66,'Control Flujo de caja'!AJ$16,FALSE)</f>
        <v>0</v>
      </c>
      <c r="AK49" s="187">
        <f>VLOOKUP($B49,REAL!$B$13:$AI$61,'Control Flujo de caja'!AK$16,FALSE)</f>
        <v>0</v>
      </c>
      <c r="AL49" s="199">
        <f t="shared" si="71"/>
        <v>0</v>
      </c>
      <c r="AM49" s="187">
        <f>VLOOKUP($B49,'FLUJO DE CAJA PROYECTADO '!$B$13:$AN$66,'Control Flujo de caja'!AM$16,FALSE)</f>
        <v>0</v>
      </c>
      <c r="AN49" s="187">
        <f>VLOOKUP($B49,REAL!$B$13:$AN$61,'Control Flujo de caja'!AN$16,FALSE)</f>
        <v>0</v>
      </c>
      <c r="AO49" s="199">
        <f t="shared" si="72"/>
        <v>0</v>
      </c>
      <c r="AP49" s="187">
        <f>VLOOKUP($B49,'FLUJO DE CAJA PROYECTADO '!$B$13:$AS$66,'Control Flujo de caja'!AP$16,FALSE)</f>
        <v>0</v>
      </c>
      <c r="AQ49" s="187">
        <f>VLOOKUP($B49,REAL!$B$13:$AS$61,'Control Flujo de caja'!AQ$16,FALSE)</f>
        <v>0</v>
      </c>
      <c r="AR49" s="199">
        <f t="shared" si="73"/>
        <v>0</v>
      </c>
      <c r="AV49" s="220"/>
      <c r="AW49" s="220"/>
      <c r="AX49" s="220"/>
    </row>
    <row r="50" spans="2:50" ht="14" customHeight="1" outlineLevel="4" x14ac:dyDescent="0.15">
      <c r="B50" s="53" t="s">
        <v>76</v>
      </c>
      <c r="C50" s="223" t="s">
        <v>77</v>
      </c>
      <c r="D50" s="224"/>
      <c r="E50" s="185">
        <f>VLOOKUP(B50,'FLUJO DE CAJA PROYECTADO '!$B$13:$J$61,3,FALSE)</f>
        <v>3</v>
      </c>
      <c r="F50" s="186">
        <f>VLOOKUP(B50,'FLUJO DE CAJA PROYECTADO '!$B$13:$J$61,9,FALSE)</f>
        <v>14756</v>
      </c>
      <c r="G50" s="187">
        <f>VLOOKUP(B50,'FLUJO DE CAJA PROYECTADO '!$B$13:$J$61,8,FALSE)</f>
        <v>14756</v>
      </c>
      <c r="H50" s="199">
        <f t="shared" si="21"/>
        <v>-14756</v>
      </c>
      <c r="J50" s="185">
        <f>VLOOKUP($B50,ASEGURADO!$B$3:$J$51,3,FALSE)</f>
        <v>3</v>
      </c>
      <c r="K50" s="186">
        <f>VLOOKUP(B50,ASEGURADO!$B$3:$J$52,9,FALSE)</f>
        <v>14756</v>
      </c>
      <c r="L50" s="187">
        <f>VLOOKUP($B50,ASEGURADO!$B$3:$J$52,8,FALSE)</f>
        <v>0</v>
      </c>
      <c r="M50" s="199">
        <f t="shared" si="66"/>
        <v>14756</v>
      </c>
      <c r="P50" s="185">
        <f>VLOOKUP(B50,REAL!$B$13:$J$61,3,FALSE)</f>
        <v>3</v>
      </c>
      <c r="Q50" s="186">
        <f>VLOOKUP(B50,REAL!$B$13:$J$61,9,FALSE)</f>
        <v>14756</v>
      </c>
      <c r="R50" s="187">
        <f>VLOOKUP(B50,REAL!$B$13:$J$61,8,FALSE)</f>
        <v>0</v>
      </c>
      <c r="S50" s="199">
        <f t="shared" si="7"/>
        <v>14756</v>
      </c>
      <c r="U50" s="43">
        <f>VLOOKUP(B50,Contabilidad!$B$3:$D$51,3,FALSE)</f>
        <v>0</v>
      </c>
      <c r="V50" s="199">
        <f t="shared" si="67"/>
        <v>0</v>
      </c>
      <c r="X50" s="187">
        <f>VLOOKUP($B50,'FLUJO DE CAJA PROYECTADO '!$B$13:$AI$66,'Control Flujo de caja'!X$16,FALSE)</f>
        <v>14756</v>
      </c>
      <c r="Y50" s="187">
        <f>VLOOKUP($B50,REAL!$B$13:$AI$61,'Control Flujo de caja'!Y$16,FALSE)</f>
        <v>0</v>
      </c>
      <c r="Z50" s="199">
        <f t="shared" si="24"/>
        <v>14756</v>
      </c>
      <c r="AA50" s="187">
        <f>VLOOKUP($B50,'FLUJO DE CAJA PROYECTADO '!$B$13:$AI$66,'Control Flujo de caja'!AA$16,FALSE)</f>
        <v>0</v>
      </c>
      <c r="AB50" s="187">
        <f>VLOOKUP($B50,REAL!$B$13:$AI$61,'Control Flujo de caja'!AB$16,FALSE)</f>
        <v>0</v>
      </c>
      <c r="AC50" s="199">
        <f t="shared" si="68"/>
        <v>0</v>
      </c>
      <c r="AD50" s="187">
        <f>VLOOKUP($B50,'FLUJO DE CAJA PROYECTADO '!$B$13:$AI$66,'Control Flujo de caja'!AD$16,FALSE)</f>
        <v>0</v>
      </c>
      <c r="AE50" s="187">
        <f>VLOOKUP($B50,REAL!$B$13:$AI$61,'Control Flujo de caja'!AE$16,FALSE)</f>
        <v>0</v>
      </c>
      <c r="AF50" s="199">
        <f t="shared" si="69"/>
        <v>0</v>
      </c>
      <c r="AG50" s="187">
        <f>VLOOKUP($B50,'FLUJO DE CAJA PROYECTADO '!$B$13:$AI$66,'Control Flujo de caja'!AG$16,FALSE)</f>
        <v>0</v>
      </c>
      <c r="AH50" s="187">
        <f>VLOOKUP($B50,REAL!$B$13:$AI$61,'Control Flujo de caja'!AH$16,FALSE)</f>
        <v>0</v>
      </c>
      <c r="AI50" s="199">
        <f t="shared" si="70"/>
        <v>0</v>
      </c>
      <c r="AJ50" s="187">
        <f>VLOOKUP($B50,'FLUJO DE CAJA PROYECTADO '!$B$13:$AI$66,'Control Flujo de caja'!AJ$16,FALSE)</f>
        <v>0</v>
      </c>
      <c r="AK50" s="187">
        <f>VLOOKUP($B50,REAL!$B$13:$AI$61,'Control Flujo de caja'!AK$16,FALSE)</f>
        <v>0</v>
      </c>
      <c r="AL50" s="199">
        <f t="shared" si="71"/>
        <v>0</v>
      </c>
      <c r="AM50" s="187">
        <f>VLOOKUP($B50,'FLUJO DE CAJA PROYECTADO '!$B$13:$AN$66,'Control Flujo de caja'!AM$16,FALSE)</f>
        <v>0</v>
      </c>
      <c r="AN50" s="187">
        <f>VLOOKUP($B50,REAL!$B$13:$AN$61,'Control Flujo de caja'!AN$16,FALSE)</f>
        <v>0</v>
      </c>
      <c r="AO50" s="199">
        <f t="shared" si="72"/>
        <v>0</v>
      </c>
      <c r="AP50" s="187">
        <f>VLOOKUP($B50,'FLUJO DE CAJA PROYECTADO '!$B$13:$AS$66,'Control Flujo de caja'!AP$16,FALSE)</f>
        <v>0</v>
      </c>
      <c r="AQ50" s="187">
        <f>VLOOKUP($B50,REAL!$B$13:$AS$61,'Control Flujo de caja'!AQ$16,FALSE)</f>
        <v>0</v>
      </c>
      <c r="AR50" s="199">
        <f t="shared" si="73"/>
        <v>0</v>
      </c>
      <c r="AV50" s="220"/>
      <c r="AW50" s="220"/>
      <c r="AX50" s="220"/>
    </row>
    <row r="51" spans="2:50" ht="14" customHeight="1" outlineLevel="4" x14ac:dyDescent="0.15">
      <c r="B51" s="53" t="s">
        <v>78</v>
      </c>
      <c r="C51" s="223" t="s">
        <v>79</v>
      </c>
      <c r="D51" s="224"/>
      <c r="E51" s="185">
        <f>VLOOKUP(B51,'FLUJO DE CAJA PROYECTADO '!$B$13:$J$61,3,FALSE)</f>
        <v>1</v>
      </c>
      <c r="F51" s="186">
        <f>VLOOKUP(B51,'FLUJO DE CAJA PROYECTADO '!$B$13:$J$61,9,FALSE)</f>
        <v>81037</v>
      </c>
      <c r="G51" s="187">
        <f>VLOOKUP(B51,'FLUJO DE CAJA PROYECTADO '!$B$13:$J$61,8,FALSE)</f>
        <v>81037</v>
      </c>
      <c r="H51" s="199">
        <f t="shared" si="21"/>
        <v>-81037</v>
      </c>
      <c r="J51" s="185">
        <f>VLOOKUP($B51,ASEGURADO!$B$3:$J$51,3,FALSE)</f>
        <v>1</v>
      </c>
      <c r="K51" s="186">
        <f>VLOOKUP(B51,ASEGURADO!$B$3:$J$52,9,FALSE)</f>
        <v>81037</v>
      </c>
      <c r="L51" s="187">
        <f>VLOOKUP($B51,ASEGURADO!$B$3:$J$52,8,FALSE)</f>
        <v>0</v>
      </c>
      <c r="M51" s="199">
        <f t="shared" si="66"/>
        <v>81037</v>
      </c>
      <c r="P51" s="185">
        <f>VLOOKUP(B51,REAL!$B$13:$J$61,3,FALSE)</f>
        <v>1</v>
      </c>
      <c r="Q51" s="186">
        <f>VLOOKUP(B51,REAL!$B$13:$J$61,9,FALSE)</f>
        <v>81037</v>
      </c>
      <c r="R51" s="187">
        <f>VLOOKUP(B51,REAL!$B$13:$J$61,8,FALSE)</f>
        <v>0</v>
      </c>
      <c r="S51" s="199">
        <f t="shared" si="7"/>
        <v>81037</v>
      </c>
      <c r="U51" s="43">
        <f>VLOOKUP(B51,Contabilidad!$B$3:$D$51,3,FALSE)</f>
        <v>0</v>
      </c>
      <c r="V51" s="199">
        <f t="shared" si="67"/>
        <v>0</v>
      </c>
      <c r="X51" s="187">
        <f>VLOOKUP($B51,'FLUJO DE CAJA PROYECTADO '!$B$13:$AI$66,'Control Flujo de caja'!X$16,FALSE)</f>
        <v>81037</v>
      </c>
      <c r="Y51" s="187">
        <f>VLOOKUP($B51,REAL!$B$13:$AI$61,'Control Flujo de caja'!Y$16,FALSE)</f>
        <v>0</v>
      </c>
      <c r="Z51" s="199">
        <f t="shared" si="24"/>
        <v>81037</v>
      </c>
      <c r="AA51" s="187">
        <f>VLOOKUP($B51,'FLUJO DE CAJA PROYECTADO '!$B$13:$AI$66,'Control Flujo de caja'!AA$16,FALSE)</f>
        <v>0</v>
      </c>
      <c r="AB51" s="187">
        <f>VLOOKUP($B51,REAL!$B$13:$AI$61,'Control Flujo de caja'!AB$16,FALSE)</f>
        <v>0</v>
      </c>
      <c r="AC51" s="199">
        <f t="shared" si="68"/>
        <v>0</v>
      </c>
      <c r="AD51" s="187">
        <f>VLOOKUP($B51,'FLUJO DE CAJA PROYECTADO '!$B$13:$AI$66,'Control Flujo de caja'!AD$16,FALSE)</f>
        <v>0</v>
      </c>
      <c r="AE51" s="187">
        <f>VLOOKUP($B51,REAL!$B$13:$AI$61,'Control Flujo de caja'!AE$16,FALSE)</f>
        <v>0</v>
      </c>
      <c r="AF51" s="199">
        <f t="shared" si="69"/>
        <v>0</v>
      </c>
      <c r="AG51" s="187">
        <f>VLOOKUP($B51,'FLUJO DE CAJA PROYECTADO '!$B$13:$AI$66,'Control Flujo de caja'!AG$16,FALSE)</f>
        <v>0</v>
      </c>
      <c r="AH51" s="187">
        <f>VLOOKUP($B51,REAL!$B$13:$AI$61,'Control Flujo de caja'!AH$16,FALSE)</f>
        <v>0</v>
      </c>
      <c r="AI51" s="199">
        <f t="shared" si="70"/>
        <v>0</v>
      </c>
      <c r="AJ51" s="187">
        <f>VLOOKUP($B51,'FLUJO DE CAJA PROYECTADO '!$B$13:$AI$66,'Control Flujo de caja'!AJ$16,FALSE)</f>
        <v>0</v>
      </c>
      <c r="AK51" s="187">
        <f>VLOOKUP($B51,REAL!$B$13:$AI$61,'Control Flujo de caja'!AK$16,FALSE)</f>
        <v>0</v>
      </c>
      <c r="AL51" s="199">
        <f t="shared" si="71"/>
        <v>0</v>
      </c>
      <c r="AM51" s="187">
        <f>VLOOKUP($B51,'FLUJO DE CAJA PROYECTADO '!$B$13:$AN$66,'Control Flujo de caja'!AM$16,FALSE)</f>
        <v>0</v>
      </c>
      <c r="AN51" s="187">
        <f>VLOOKUP($B51,REAL!$B$13:$AN$61,'Control Flujo de caja'!AN$16,FALSE)</f>
        <v>0</v>
      </c>
      <c r="AO51" s="199">
        <f t="shared" si="72"/>
        <v>0</v>
      </c>
      <c r="AP51" s="187">
        <f>VLOOKUP($B51,'FLUJO DE CAJA PROYECTADO '!$B$13:$AS$66,'Control Flujo de caja'!AP$16,FALSE)</f>
        <v>0</v>
      </c>
      <c r="AQ51" s="187">
        <f>VLOOKUP($B51,REAL!$B$13:$AS$61,'Control Flujo de caja'!AQ$16,FALSE)</f>
        <v>0</v>
      </c>
      <c r="AR51" s="199">
        <f t="shared" si="73"/>
        <v>0</v>
      </c>
      <c r="AV51" s="220"/>
      <c r="AW51" s="220"/>
      <c r="AX51" s="220"/>
    </row>
    <row r="52" spans="2:50" ht="14" customHeight="1" outlineLevel="4" x14ac:dyDescent="0.15">
      <c r="B52" s="53" t="s">
        <v>80</v>
      </c>
      <c r="C52" s="223" t="s">
        <v>81</v>
      </c>
      <c r="D52" s="224"/>
      <c r="E52" s="185">
        <f>VLOOKUP(B52,'FLUJO DE CAJA PROYECTADO '!$B$13:$J$61,3,FALSE)</f>
        <v>1</v>
      </c>
      <c r="F52" s="186">
        <f>VLOOKUP(B52,'FLUJO DE CAJA PROYECTADO '!$B$13:$J$61,9,FALSE)</f>
        <v>186870</v>
      </c>
      <c r="G52" s="187">
        <f>VLOOKUP(B52,'FLUJO DE CAJA PROYECTADO '!$B$13:$J$61,8,FALSE)</f>
        <v>186870</v>
      </c>
      <c r="H52" s="199">
        <f t="shared" si="21"/>
        <v>-186870</v>
      </c>
      <c r="J52" s="185">
        <f>VLOOKUP($B52,ASEGURADO!$B$3:$J$51,3,FALSE)</f>
        <v>1</v>
      </c>
      <c r="K52" s="186">
        <f>VLOOKUP(B52,ASEGURADO!$B$3:$J$52,9,FALSE)</f>
        <v>186870</v>
      </c>
      <c r="L52" s="187">
        <f>VLOOKUP($B52,ASEGURADO!$B$3:$J$52,8,FALSE)</f>
        <v>0</v>
      </c>
      <c r="M52" s="199">
        <f t="shared" si="66"/>
        <v>186870</v>
      </c>
      <c r="P52" s="185">
        <f>VLOOKUP(B52,REAL!$B$13:$J$61,3,FALSE)</f>
        <v>1</v>
      </c>
      <c r="Q52" s="186">
        <f>VLOOKUP(B52,REAL!$B$13:$J$61,9,FALSE)</f>
        <v>186870</v>
      </c>
      <c r="R52" s="187">
        <f>VLOOKUP(B52,REAL!$B$13:$J$61,8,FALSE)</f>
        <v>0</v>
      </c>
      <c r="S52" s="199">
        <f t="shared" si="7"/>
        <v>186870</v>
      </c>
      <c r="U52" s="43">
        <f>VLOOKUP(B52,Contabilidad!$B$3:$D$51,3,FALSE)</f>
        <v>0</v>
      </c>
      <c r="V52" s="199">
        <f t="shared" si="67"/>
        <v>0</v>
      </c>
      <c r="X52" s="187">
        <f>VLOOKUP($B52,'FLUJO DE CAJA PROYECTADO '!$B$13:$AI$66,'Control Flujo de caja'!X$16,FALSE)</f>
        <v>186870</v>
      </c>
      <c r="Y52" s="187">
        <f>VLOOKUP($B52,REAL!$B$13:$AI$61,'Control Flujo de caja'!Y$16,FALSE)</f>
        <v>0</v>
      </c>
      <c r="Z52" s="199">
        <f t="shared" si="24"/>
        <v>186870</v>
      </c>
      <c r="AA52" s="187">
        <f>VLOOKUP($B52,'FLUJO DE CAJA PROYECTADO '!$B$13:$AI$66,'Control Flujo de caja'!AA$16,FALSE)</f>
        <v>0</v>
      </c>
      <c r="AB52" s="187">
        <f>VLOOKUP($B52,REAL!$B$13:$AI$61,'Control Flujo de caja'!AB$16,FALSE)</f>
        <v>0</v>
      </c>
      <c r="AC52" s="199">
        <f t="shared" si="68"/>
        <v>0</v>
      </c>
      <c r="AD52" s="187">
        <f>VLOOKUP($B52,'FLUJO DE CAJA PROYECTADO '!$B$13:$AI$66,'Control Flujo de caja'!AD$16,FALSE)</f>
        <v>0</v>
      </c>
      <c r="AE52" s="187">
        <f>VLOOKUP($B52,REAL!$B$13:$AI$61,'Control Flujo de caja'!AE$16,FALSE)</f>
        <v>0</v>
      </c>
      <c r="AF52" s="199">
        <f t="shared" si="69"/>
        <v>0</v>
      </c>
      <c r="AG52" s="187">
        <f>VLOOKUP($B52,'FLUJO DE CAJA PROYECTADO '!$B$13:$AI$66,'Control Flujo de caja'!AG$16,FALSE)</f>
        <v>0</v>
      </c>
      <c r="AH52" s="187">
        <f>VLOOKUP($B52,REAL!$B$13:$AI$61,'Control Flujo de caja'!AH$16,FALSE)</f>
        <v>0</v>
      </c>
      <c r="AI52" s="199">
        <f t="shared" si="70"/>
        <v>0</v>
      </c>
      <c r="AJ52" s="187">
        <f>VLOOKUP($B52,'FLUJO DE CAJA PROYECTADO '!$B$13:$AI$66,'Control Flujo de caja'!AJ$16,FALSE)</f>
        <v>0</v>
      </c>
      <c r="AK52" s="187">
        <f>VLOOKUP($B52,REAL!$B$13:$AI$61,'Control Flujo de caja'!AK$16,FALSE)</f>
        <v>0</v>
      </c>
      <c r="AL52" s="199">
        <f t="shared" si="71"/>
        <v>0</v>
      </c>
      <c r="AM52" s="187">
        <f>VLOOKUP($B52,'FLUJO DE CAJA PROYECTADO '!$B$13:$AN$66,'Control Flujo de caja'!AM$16,FALSE)</f>
        <v>0</v>
      </c>
      <c r="AN52" s="187">
        <f>VLOOKUP($B52,REAL!$B$13:$AN$61,'Control Flujo de caja'!AN$16,FALSE)</f>
        <v>0</v>
      </c>
      <c r="AO52" s="199">
        <f>AM52-AN52</f>
        <v>0</v>
      </c>
      <c r="AP52" s="187">
        <f>VLOOKUP($B52,'FLUJO DE CAJA PROYECTADO '!$B$13:$AS$66,'Control Flujo de caja'!AP$16,FALSE)</f>
        <v>0</v>
      </c>
      <c r="AQ52" s="187">
        <f>VLOOKUP($B52,REAL!$B$13:$AS$61,'Control Flujo de caja'!AQ$16,FALSE)</f>
        <v>0</v>
      </c>
      <c r="AR52" s="199">
        <f t="shared" si="73"/>
        <v>0</v>
      </c>
      <c r="AV52" s="220"/>
      <c r="AW52" s="220"/>
      <c r="AX52" s="220"/>
    </row>
    <row r="53" spans="2:50" ht="14" customHeight="1" outlineLevel="4" x14ac:dyDescent="0.15">
      <c r="B53" s="44" t="s">
        <v>82</v>
      </c>
      <c r="C53" s="45" t="s">
        <v>83</v>
      </c>
      <c r="D53" s="181">
        <v>58546503</v>
      </c>
      <c r="E53" s="182">
        <f t="shared" ref="E53:R53" si="74">SUM(E54)</f>
        <v>1</v>
      </c>
      <c r="F53" s="183">
        <f t="shared" si="74"/>
        <v>58546503</v>
      </c>
      <c r="G53" s="184">
        <f t="shared" si="74"/>
        <v>58546503</v>
      </c>
      <c r="H53" s="350">
        <f t="shared" si="21"/>
        <v>0</v>
      </c>
      <c r="J53" s="182">
        <f t="shared" si="74"/>
        <v>1</v>
      </c>
      <c r="K53" s="186">
        <f>VLOOKUP(B53,ASEGURADO!$B$3:$J$52,9,FALSE)</f>
        <v>58546503</v>
      </c>
      <c r="L53" s="187">
        <f>VLOOKUP($B53,ASEGURADO!$B$3:$J$52,8,FALSE)</f>
        <v>58546503</v>
      </c>
      <c r="M53" s="198">
        <f t="shared" si="74"/>
        <v>0</v>
      </c>
      <c r="P53" s="182">
        <f t="shared" si="74"/>
        <v>1</v>
      </c>
      <c r="Q53" s="183">
        <f t="shared" si="74"/>
        <v>58546503</v>
      </c>
      <c r="R53" s="184">
        <f t="shared" si="74"/>
        <v>58546503</v>
      </c>
      <c r="S53" s="350">
        <f t="shared" si="7"/>
        <v>0</v>
      </c>
      <c r="U53" s="43">
        <f>VLOOKUP(B53,Contabilidad!$B$3:$D$51,3,FALSE)</f>
        <v>0</v>
      </c>
      <c r="V53" s="198">
        <f t="shared" ref="V53" si="75">SUM(V54)</f>
        <v>58546503</v>
      </c>
      <c r="X53" s="184">
        <f t="shared" ref="X53:AR53" si="76">SUM(X54)</f>
        <v>58546503</v>
      </c>
      <c r="Y53" s="184">
        <f t="shared" si="76"/>
        <v>58546503</v>
      </c>
      <c r="Z53" s="198">
        <f t="shared" si="76"/>
        <v>0</v>
      </c>
      <c r="AA53" s="184">
        <f t="shared" si="76"/>
        <v>0</v>
      </c>
      <c r="AB53" s="184">
        <f t="shared" si="76"/>
        <v>0</v>
      </c>
      <c r="AC53" s="198">
        <f t="shared" si="76"/>
        <v>0</v>
      </c>
      <c r="AD53" s="184">
        <f t="shared" si="76"/>
        <v>0</v>
      </c>
      <c r="AE53" s="184">
        <f t="shared" si="76"/>
        <v>0</v>
      </c>
      <c r="AF53" s="198">
        <f t="shared" si="76"/>
        <v>0</v>
      </c>
      <c r="AG53" s="184">
        <f t="shared" si="76"/>
        <v>0</v>
      </c>
      <c r="AH53" s="184">
        <f t="shared" si="76"/>
        <v>0</v>
      </c>
      <c r="AI53" s="198">
        <f t="shared" si="76"/>
        <v>0</v>
      </c>
      <c r="AJ53" s="184">
        <f t="shared" si="76"/>
        <v>0</v>
      </c>
      <c r="AK53" s="184">
        <f t="shared" si="76"/>
        <v>0</v>
      </c>
      <c r="AL53" s="198">
        <f t="shared" si="76"/>
        <v>0</v>
      </c>
      <c r="AM53" s="184">
        <f t="shared" si="76"/>
        <v>0</v>
      </c>
      <c r="AN53" s="184">
        <f t="shared" si="76"/>
        <v>0</v>
      </c>
      <c r="AO53" s="198">
        <f t="shared" si="76"/>
        <v>0</v>
      </c>
      <c r="AP53" s="184">
        <f t="shared" si="76"/>
        <v>0</v>
      </c>
      <c r="AQ53" s="184">
        <f t="shared" si="76"/>
        <v>0</v>
      </c>
      <c r="AR53" s="198">
        <f t="shared" si="76"/>
        <v>0</v>
      </c>
      <c r="AV53" s="220"/>
      <c r="AW53" s="220"/>
      <c r="AX53" s="220"/>
    </row>
    <row r="54" spans="2:50" ht="14" customHeight="1" outlineLevel="4" x14ac:dyDescent="0.15">
      <c r="B54" s="47" t="s">
        <v>84</v>
      </c>
      <c r="C54" s="223" t="s">
        <v>85</v>
      </c>
      <c r="D54" s="226">
        <v>58546503</v>
      </c>
      <c r="E54" s="185">
        <f>VLOOKUP(B54,'FLUJO DE CAJA PROYECTADO '!$B$13:$J$61,3,FALSE)</f>
        <v>1</v>
      </c>
      <c r="F54" s="186">
        <f>VLOOKUP(B54,'FLUJO DE CAJA PROYECTADO '!$B$13:$J$61,9,FALSE)</f>
        <v>58546503</v>
      </c>
      <c r="G54" s="187">
        <f>VLOOKUP(B54,'FLUJO DE CAJA PROYECTADO '!$B$13:$J$61,8,FALSE)</f>
        <v>58546503</v>
      </c>
      <c r="H54" s="199">
        <f t="shared" si="21"/>
        <v>0</v>
      </c>
      <c r="J54" s="185">
        <f>VLOOKUP($B54,ASEGURADO!$B$3:$J$51,3,FALSE)</f>
        <v>1</v>
      </c>
      <c r="K54" s="186">
        <f>VLOOKUP(B54,ASEGURADO!$B$3:$J$52,9,FALSE)</f>
        <v>58546503</v>
      </c>
      <c r="L54" s="187">
        <f>VLOOKUP($B54,ASEGURADO!$B$3:$J$52,8,FALSE)</f>
        <v>58546503</v>
      </c>
      <c r="M54" s="199">
        <f>G54-L54</f>
        <v>0</v>
      </c>
      <c r="P54" s="185">
        <f>VLOOKUP(B54,REAL!$B$13:$J$61,3,FALSE)</f>
        <v>1</v>
      </c>
      <c r="Q54" s="186">
        <f>VLOOKUP(B54,REAL!$B$13:$J$61,9,FALSE)</f>
        <v>58546503</v>
      </c>
      <c r="R54" s="187">
        <f>VLOOKUP(B54,REAL!$B$13:$J$61,8,FALSE)</f>
        <v>58546503</v>
      </c>
      <c r="S54" s="199">
        <f t="shared" si="7"/>
        <v>0</v>
      </c>
      <c r="U54" s="43">
        <f>VLOOKUP(B54,Contabilidad!$B$3:$D$51,3,FALSE)</f>
        <v>0</v>
      </c>
      <c r="V54" s="199">
        <f>R54-U54</f>
        <v>58546503</v>
      </c>
      <c r="X54" s="187">
        <f>VLOOKUP($B54,'FLUJO DE CAJA PROYECTADO '!$B$13:$AI$66,'Control Flujo de caja'!X$16,FALSE)</f>
        <v>58546503</v>
      </c>
      <c r="Y54" s="187">
        <f>VLOOKUP($B54,REAL!$B$13:$AI$61,'Control Flujo de caja'!Y$16,FALSE)</f>
        <v>58546503</v>
      </c>
      <c r="Z54" s="199">
        <f t="shared" si="24"/>
        <v>0</v>
      </c>
      <c r="AA54" s="187">
        <f>VLOOKUP($B54,'FLUJO DE CAJA PROYECTADO '!$B$13:$AI$66,'Control Flujo de caja'!AA$16,FALSE)</f>
        <v>0</v>
      </c>
      <c r="AB54" s="187">
        <f>VLOOKUP($B54,REAL!$B$13:$AI$61,'Control Flujo de caja'!AB$16,FALSE)</f>
        <v>0</v>
      </c>
      <c r="AC54" s="199">
        <f t="shared" ref="AC54" si="77">AA54-AB54</f>
        <v>0</v>
      </c>
      <c r="AD54" s="187">
        <f>VLOOKUP($B54,'FLUJO DE CAJA PROYECTADO '!$B$13:$AI$66,'Control Flujo de caja'!AD$16,FALSE)</f>
        <v>0</v>
      </c>
      <c r="AE54" s="187">
        <f>VLOOKUP($B54,REAL!$B$13:$AI$61,'Control Flujo de caja'!AE$16,FALSE)</f>
        <v>0</v>
      </c>
      <c r="AF54" s="199">
        <f t="shared" ref="AF54" si="78">AD54-AE54</f>
        <v>0</v>
      </c>
      <c r="AG54" s="187">
        <f>VLOOKUP($B54,'FLUJO DE CAJA PROYECTADO '!$B$13:$AI$66,'Control Flujo de caja'!AG$16,FALSE)</f>
        <v>0</v>
      </c>
      <c r="AH54" s="187">
        <f>VLOOKUP($B54,REAL!$B$13:$AI$61,'Control Flujo de caja'!AH$16,FALSE)</f>
        <v>0</v>
      </c>
      <c r="AI54" s="199">
        <f t="shared" ref="AI54" si="79">AG54-AH54</f>
        <v>0</v>
      </c>
      <c r="AJ54" s="187">
        <f>VLOOKUP($B54,'FLUJO DE CAJA PROYECTADO '!$B$13:$AI$66,'Control Flujo de caja'!AJ$16,FALSE)</f>
        <v>0</v>
      </c>
      <c r="AK54" s="187">
        <f>VLOOKUP($B54,REAL!$B$13:$AI$61,'Control Flujo de caja'!AK$16,FALSE)</f>
        <v>0</v>
      </c>
      <c r="AL54" s="199">
        <f t="shared" ref="AL54" si="80">AJ54-AK54</f>
        <v>0</v>
      </c>
      <c r="AM54" s="187">
        <f>VLOOKUP($B54,'FLUJO DE CAJA PROYECTADO '!$B$13:$AN$66,'Control Flujo de caja'!AM$16,FALSE)</f>
        <v>0</v>
      </c>
      <c r="AN54" s="187">
        <f>VLOOKUP($B54,REAL!$B$13:$AN$61,'Control Flujo de caja'!AN$16,FALSE)</f>
        <v>0</v>
      </c>
      <c r="AO54" s="199">
        <f>AM54-AN54</f>
        <v>0</v>
      </c>
      <c r="AP54" s="187">
        <f>VLOOKUP($B54,'FLUJO DE CAJA PROYECTADO '!$B$13:$AS$66,'Control Flujo de caja'!AP$16,FALSE)</f>
        <v>0</v>
      </c>
      <c r="AQ54" s="187">
        <f>VLOOKUP($B54,REAL!$B$13:$AS$61,'Control Flujo de caja'!AQ$16,FALSE)</f>
        <v>0</v>
      </c>
      <c r="AR54" s="199">
        <f t="shared" ref="AR54" si="81">AP54-AQ54</f>
        <v>0</v>
      </c>
      <c r="AV54" s="220"/>
      <c r="AW54" s="220"/>
      <c r="AX54" s="220"/>
    </row>
    <row r="55" spans="2:50" ht="14" customHeight="1" outlineLevel="4" x14ac:dyDescent="0.15">
      <c r="B55" s="41">
        <v>3</v>
      </c>
      <c r="C55" s="56" t="s">
        <v>86</v>
      </c>
      <c r="D55" s="176">
        <f t="shared" ref="D55:R55" si="82">D56</f>
        <v>0</v>
      </c>
      <c r="E55" s="179">
        <f t="shared" si="82"/>
        <v>0</v>
      </c>
      <c r="F55" s="122">
        <f t="shared" si="82"/>
        <v>4200000</v>
      </c>
      <c r="G55" s="180">
        <f t="shared" si="82"/>
        <v>17881010</v>
      </c>
      <c r="H55" s="350">
        <f t="shared" si="21"/>
        <v>-17881010</v>
      </c>
      <c r="J55" s="179">
        <f t="shared" si="82"/>
        <v>0</v>
      </c>
      <c r="K55" s="179">
        <f t="shared" si="82"/>
        <v>4200000</v>
      </c>
      <c r="L55" s="179">
        <f t="shared" si="82"/>
        <v>1497410</v>
      </c>
      <c r="M55" s="202">
        <f t="shared" si="82"/>
        <v>16383600</v>
      </c>
      <c r="P55" s="179">
        <f t="shared" si="82"/>
        <v>0</v>
      </c>
      <c r="Q55" s="122">
        <f t="shared" si="82"/>
        <v>4200000</v>
      </c>
      <c r="R55" s="180">
        <f t="shared" si="82"/>
        <v>0</v>
      </c>
      <c r="S55" s="350">
        <f t="shared" si="7"/>
        <v>17881010</v>
      </c>
      <c r="U55" s="43">
        <f>VLOOKUP(B55,Contabilidad!$B$3:$D$51,3,FALSE)</f>
        <v>609510</v>
      </c>
      <c r="V55" s="202">
        <f t="shared" ref="V55" si="83">V56</f>
        <v>-609510</v>
      </c>
      <c r="X55" s="180">
        <f t="shared" ref="X55:AR55" si="84">X56</f>
        <v>0</v>
      </c>
      <c r="Y55" s="180">
        <f t="shared" si="84"/>
        <v>0</v>
      </c>
      <c r="Z55" s="202">
        <f t="shared" si="84"/>
        <v>0</v>
      </c>
      <c r="AA55" s="180">
        <f t="shared" si="84"/>
        <v>1497410</v>
      </c>
      <c r="AB55" s="180">
        <f t="shared" si="84"/>
        <v>1497410</v>
      </c>
      <c r="AC55" s="202">
        <f t="shared" si="84"/>
        <v>0</v>
      </c>
      <c r="AD55" s="180">
        <f t="shared" si="84"/>
        <v>2235000</v>
      </c>
      <c r="AE55" s="180">
        <f t="shared" si="84"/>
        <v>2235000</v>
      </c>
      <c r="AF55" s="202">
        <f t="shared" si="84"/>
        <v>0</v>
      </c>
      <c r="AG55" s="180">
        <f t="shared" si="84"/>
        <v>4716200</v>
      </c>
      <c r="AH55" s="180">
        <f t="shared" si="84"/>
        <v>4508000</v>
      </c>
      <c r="AI55" s="180">
        <f t="shared" si="84"/>
        <v>208200</v>
      </c>
      <c r="AJ55" s="180">
        <f t="shared" si="84"/>
        <v>4716200</v>
      </c>
      <c r="AK55" s="180">
        <f t="shared" si="84"/>
        <v>2300000</v>
      </c>
      <c r="AL55" s="202">
        <f t="shared" si="84"/>
        <v>2416200</v>
      </c>
      <c r="AM55" s="180">
        <f t="shared" si="84"/>
        <v>4716200</v>
      </c>
      <c r="AN55" s="180">
        <f t="shared" si="84"/>
        <v>2093495</v>
      </c>
      <c r="AO55" s="202">
        <f t="shared" si="84"/>
        <v>2622705</v>
      </c>
      <c r="AP55" s="180">
        <f t="shared" si="84"/>
        <v>4716200</v>
      </c>
      <c r="AQ55" s="180">
        <f t="shared" si="84"/>
        <v>0</v>
      </c>
      <c r="AR55" s="202">
        <f t="shared" si="84"/>
        <v>4716200</v>
      </c>
      <c r="AV55" s="220"/>
      <c r="AW55" s="220"/>
      <c r="AX55" s="220"/>
    </row>
    <row r="56" spans="2:50" ht="14" customHeight="1" outlineLevel="4" x14ac:dyDescent="0.15">
      <c r="B56" s="44" t="s">
        <v>87</v>
      </c>
      <c r="C56" s="45" t="s">
        <v>86</v>
      </c>
      <c r="D56" s="191">
        <f t="shared" ref="D56:E56" si="85">SUM(D57:D60)</f>
        <v>0</v>
      </c>
      <c r="E56" s="182">
        <f t="shared" si="85"/>
        <v>0</v>
      </c>
      <c r="F56" s="183">
        <f t="shared" ref="F56:G56" si="86">SUM(F57:F60)</f>
        <v>4200000</v>
      </c>
      <c r="G56" s="184">
        <f t="shared" si="86"/>
        <v>17881010</v>
      </c>
      <c r="H56" s="350">
        <f t="shared" si="21"/>
        <v>-17881010</v>
      </c>
      <c r="J56" s="182">
        <f t="shared" ref="J56:M56" si="87">SUM(J57:J60)</f>
        <v>0</v>
      </c>
      <c r="K56" s="182">
        <f t="shared" ref="K56:L56" si="88">SUM(K57:K60)</f>
        <v>4200000</v>
      </c>
      <c r="L56" s="182">
        <f t="shared" si="88"/>
        <v>1497410</v>
      </c>
      <c r="M56" s="198">
        <f t="shared" si="87"/>
        <v>16383600</v>
      </c>
      <c r="P56" s="182">
        <f t="shared" ref="P56:R56" si="89">SUM(P57:P60)</f>
        <v>0</v>
      </c>
      <c r="Q56" s="183">
        <f t="shared" si="89"/>
        <v>4200000</v>
      </c>
      <c r="R56" s="184">
        <f t="shared" si="89"/>
        <v>0</v>
      </c>
      <c r="S56" s="350">
        <f t="shared" si="7"/>
        <v>17881010</v>
      </c>
      <c r="U56" s="43">
        <f>VLOOKUP(B56,Contabilidad!$B$3:$D$51,3,FALSE)</f>
        <v>609510</v>
      </c>
      <c r="V56" s="198">
        <f t="shared" ref="V56" si="90">SUM(V57:V60)</f>
        <v>-609510</v>
      </c>
      <c r="X56" s="184">
        <f t="shared" ref="X56:Z56" si="91">SUM(X57:X60)</f>
        <v>0</v>
      </c>
      <c r="Y56" s="184">
        <f t="shared" si="91"/>
        <v>0</v>
      </c>
      <c r="Z56" s="198">
        <f t="shared" si="91"/>
        <v>0</v>
      </c>
      <c r="AA56" s="184">
        <f t="shared" ref="AA56:AB56" si="92">SUM(AA57:AA60)</f>
        <v>1497410</v>
      </c>
      <c r="AB56" s="184">
        <f t="shared" si="92"/>
        <v>1497410</v>
      </c>
      <c r="AC56" s="198">
        <f t="shared" ref="AC56:AO56" si="93">SUM(AC57:AC60)</f>
        <v>0</v>
      </c>
      <c r="AD56" s="184">
        <f t="shared" si="93"/>
        <v>2235000</v>
      </c>
      <c r="AE56" s="184">
        <f t="shared" si="93"/>
        <v>2235000</v>
      </c>
      <c r="AF56" s="198">
        <f t="shared" si="93"/>
        <v>0</v>
      </c>
      <c r="AG56" s="184">
        <f t="shared" si="93"/>
        <v>4716200</v>
      </c>
      <c r="AH56" s="184">
        <f t="shared" si="93"/>
        <v>4508000</v>
      </c>
      <c r="AI56" s="198">
        <f t="shared" si="93"/>
        <v>208200</v>
      </c>
      <c r="AJ56" s="184">
        <f t="shared" si="93"/>
        <v>4716200</v>
      </c>
      <c r="AK56" s="184">
        <f t="shared" si="93"/>
        <v>2300000</v>
      </c>
      <c r="AL56" s="198">
        <f t="shared" si="93"/>
        <v>2416200</v>
      </c>
      <c r="AM56" s="184">
        <f t="shared" si="93"/>
        <v>4716200</v>
      </c>
      <c r="AN56" s="184">
        <f t="shared" si="93"/>
        <v>2093495</v>
      </c>
      <c r="AO56" s="198">
        <f t="shared" si="93"/>
        <v>2622705</v>
      </c>
      <c r="AP56" s="184">
        <f t="shared" ref="AP56:AR56" si="94">SUM(AP57:AP60)</f>
        <v>4716200</v>
      </c>
      <c r="AQ56" s="184">
        <f t="shared" si="94"/>
        <v>0</v>
      </c>
      <c r="AR56" s="198">
        <f t="shared" si="94"/>
        <v>4716200</v>
      </c>
      <c r="AV56" s="220"/>
      <c r="AW56" s="220"/>
      <c r="AX56" s="220"/>
    </row>
    <row r="57" spans="2:50" ht="14" customHeight="1" outlineLevel="3" x14ac:dyDescent="0.15">
      <c r="B57" s="47" t="s">
        <v>88</v>
      </c>
      <c r="C57" s="223" t="s">
        <v>89</v>
      </c>
      <c r="D57" s="224"/>
      <c r="E57" s="185">
        <f>VLOOKUP(B57,'FLUJO DE CAJA PROYECTADO '!$B$13:$J$61,3,FALSE)</f>
        <v>0</v>
      </c>
      <c r="F57" s="186">
        <f>VLOOKUP(B57,'FLUJO DE CAJA PROYECTADO '!$B$13:$J$61,9,FALSE)</f>
        <v>1237600</v>
      </c>
      <c r="G57" s="187">
        <f>VLOOKUP(B57,'FLUJO DE CAJA PROYECTADO '!$B$13:$J$61,8,FALSE)</f>
        <v>9048000</v>
      </c>
      <c r="H57" s="199">
        <f t="shared" si="21"/>
        <v>-9048000</v>
      </c>
      <c r="J57" s="185">
        <f>VLOOKUP($B57,ASEGURADO!$B$3:$J$51,3,FALSE)</f>
        <v>0</v>
      </c>
      <c r="K57" s="186">
        <f>VLOOKUP(B57,ASEGURADO!$B$3:$J$52,9,FALSE)</f>
        <v>1237600</v>
      </c>
      <c r="L57" s="187">
        <f>VLOOKUP($B57,ASEGURADO!$B$3:$J$52,8,FALSE)</f>
        <v>500000</v>
      </c>
      <c r="M57" s="199">
        <f t="shared" ref="M57:M60" si="95">G57-L57</f>
        <v>8548000</v>
      </c>
      <c r="P57" s="185">
        <f>VLOOKUP(B57,REAL!$B$13:$J$61,3,FALSE)</f>
        <v>0</v>
      </c>
      <c r="Q57" s="186">
        <f>VLOOKUP(B57,REAL!$B$13:$J$61,9,FALSE)</f>
        <v>1237600</v>
      </c>
      <c r="R57" s="187">
        <f>VLOOKUP(B57,REAL!$B$13:$J$61,6,FALSE)</f>
        <v>0</v>
      </c>
      <c r="S57" s="199">
        <f t="shared" si="7"/>
        <v>9048000</v>
      </c>
      <c r="U57" s="43">
        <f>VLOOKUP(B57,Contabilidad!$B$3:$D$51,3,FALSE)</f>
        <v>0</v>
      </c>
      <c r="V57" s="199">
        <f t="shared" ref="V57:V60" si="96">R57-U57</f>
        <v>0</v>
      </c>
      <c r="X57" s="187">
        <f>VLOOKUP($B57,'FLUJO DE CAJA PROYECTADO '!$B$13:$AI$66,'Control Flujo de caja'!X$16,FALSE)</f>
        <v>0</v>
      </c>
      <c r="Y57" s="187">
        <f>VLOOKUP($B57,REAL!$B$13:$AI$61,'Control Flujo de caja'!Y$16,FALSE)</f>
        <v>0</v>
      </c>
      <c r="Z57" s="199">
        <f t="shared" ref="Z57:Z60" si="97">X57-Y57</f>
        <v>0</v>
      </c>
      <c r="AA57" s="187">
        <f>VLOOKUP($B57,'FLUJO DE CAJA PROYECTADO '!$B$13:$AI$66,'Control Flujo de caja'!AA$16,FALSE)</f>
        <v>500000</v>
      </c>
      <c r="AB57" s="187">
        <f>VLOOKUP($B57,REAL!$B$13:$AI$61,'Control Flujo de caja'!AB$16,FALSE)</f>
        <v>500000</v>
      </c>
      <c r="AC57" s="199">
        <f t="shared" ref="AC57:AC60" si="98">AA57-AB57</f>
        <v>0</v>
      </c>
      <c r="AD57" s="187">
        <f>VLOOKUP($B57,'FLUJO DE CAJA PROYECTADO '!$B$13:$AI$66,'Control Flujo de caja'!AD$16,FALSE)</f>
        <v>1348000</v>
      </c>
      <c r="AE57" s="187">
        <f>VLOOKUP($B57,REAL!$B$13:$AI$61,'Control Flujo de caja'!AE$16,FALSE)</f>
        <v>1348000</v>
      </c>
      <c r="AF57" s="199">
        <f t="shared" ref="AF57:AF60" si="99">AD57-AE57</f>
        <v>0</v>
      </c>
      <c r="AG57" s="187">
        <f>VLOOKUP($B57,'FLUJO DE CAJA PROYECTADO '!$B$13:$AI$66,'Control Flujo de caja'!AG$16,FALSE)</f>
        <v>2400000</v>
      </c>
      <c r="AH57" s="187">
        <f>VLOOKUP($B57,REAL!$B$13:$AI$61,'Control Flujo de caja'!AH$16,FALSE)</f>
        <v>2400000</v>
      </c>
      <c r="AI57" s="199">
        <f t="shared" ref="AI57:AI60" si="100">AG57-AH57</f>
        <v>0</v>
      </c>
      <c r="AJ57" s="187">
        <f>VLOOKUP($B57,'FLUJO DE CAJA PROYECTADO '!$B$13:$AI$66,'Control Flujo de caja'!AJ$16,FALSE)</f>
        <v>2400000</v>
      </c>
      <c r="AK57" s="187">
        <f>VLOOKUP($B57,REAL!$B$13:$AI$61,'Control Flujo de caja'!AK$16,FALSE)</f>
        <v>0</v>
      </c>
      <c r="AL57" s="199">
        <f t="shared" ref="AL57:AL60" si="101">AJ57-AK57</f>
        <v>2400000</v>
      </c>
      <c r="AM57" s="187">
        <f>VLOOKUP($B57,'FLUJO DE CAJA PROYECTADO '!$B$13:$AN$66,'Control Flujo de caja'!AM$16,FALSE)</f>
        <v>2400000</v>
      </c>
      <c r="AN57" s="187">
        <f>VLOOKUP($B57,REAL!$B$13:$AN$61,'Control Flujo de caja'!AN$16,FALSE)</f>
        <v>2093495</v>
      </c>
      <c r="AO57" s="199">
        <f t="shared" ref="AO57:AO60" si="102">AM57-AN57</f>
        <v>306505</v>
      </c>
      <c r="AP57" s="187">
        <f>VLOOKUP($B57,'FLUJO DE CAJA PROYECTADO '!$B$13:$AS$66,'Control Flujo de caja'!AP$16,FALSE)</f>
        <v>2400000</v>
      </c>
      <c r="AQ57" s="187">
        <f>VLOOKUP($B57,REAL!$B$13:$AS$61,'Control Flujo de caja'!AQ$16,FALSE)</f>
        <v>0</v>
      </c>
      <c r="AR57" s="199">
        <f t="shared" ref="AR57:AR60" si="103">AP57-AQ57</f>
        <v>2400000</v>
      </c>
      <c r="AV57" s="220"/>
      <c r="AW57" s="220"/>
      <c r="AX57" s="220"/>
    </row>
    <row r="58" spans="2:50" ht="14" customHeight="1" outlineLevel="4" x14ac:dyDescent="0.15">
      <c r="B58" s="47" t="s">
        <v>90</v>
      </c>
      <c r="C58" s="223" t="s">
        <v>91</v>
      </c>
      <c r="D58" s="224"/>
      <c r="E58" s="185">
        <f>VLOOKUP(B58,'FLUJO DE CAJA PROYECTADO '!$B$13:$J$61,3,FALSE)</f>
        <v>0</v>
      </c>
      <c r="F58" s="186">
        <f>VLOOKUP(B58,'FLUJO DE CAJA PROYECTADO '!$B$13:$J$61,9,FALSE)</f>
        <v>292400</v>
      </c>
      <c r="G58" s="187">
        <f>VLOOKUP(B58,'FLUJO DE CAJA PROYECTADO '!$B$13:$J$61,8,FALSE)</f>
        <v>586500</v>
      </c>
      <c r="H58" s="199">
        <f t="shared" si="21"/>
        <v>-586500</v>
      </c>
      <c r="J58" s="185">
        <f>VLOOKUP($B58,ASEGURADO!$B$3:$J$51,3,FALSE)</f>
        <v>0</v>
      </c>
      <c r="K58" s="186">
        <f>VLOOKUP(B58,ASEGURADO!$B$3:$J$52,9,FALSE)</f>
        <v>292400</v>
      </c>
      <c r="L58" s="187">
        <f>VLOOKUP($B58,ASEGURADO!$B$3:$J$52,8,FALSE)</f>
        <v>147900</v>
      </c>
      <c r="M58" s="199">
        <f t="shared" si="95"/>
        <v>438600</v>
      </c>
      <c r="P58" s="185">
        <f>VLOOKUP(B58,REAL!$B$13:$J$61,3,FALSE)</f>
        <v>0</v>
      </c>
      <c r="Q58" s="186">
        <f>VLOOKUP(B58,REAL!$B$13:$J$61,9,FALSE)</f>
        <v>292400</v>
      </c>
      <c r="R58" s="187">
        <f>VLOOKUP(B58,REAL!$B$13:$J$61,6,FALSE)</f>
        <v>0</v>
      </c>
      <c r="S58" s="199">
        <f t="shared" si="7"/>
        <v>586500</v>
      </c>
      <c r="U58" s="43">
        <f>VLOOKUP(B58,Contabilidad!$B$3:$D$51,3,FALSE)</f>
        <v>0</v>
      </c>
      <c r="V58" s="199">
        <f t="shared" si="96"/>
        <v>0</v>
      </c>
      <c r="X58" s="187">
        <f>VLOOKUP($B58,'FLUJO DE CAJA PROYECTADO '!$B$13:$AI$66,'Control Flujo de caja'!X$16,FALSE)</f>
        <v>0</v>
      </c>
      <c r="Y58" s="187">
        <f>VLOOKUP($B58,REAL!$B$13:$AI$61,'Control Flujo de caja'!Y$16,FALSE)</f>
        <v>0</v>
      </c>
      <c r="Z58" s="199">
        <f t="shared" si="97"/>
        <v>0</v>
      </c>
      <c r="AA58" s="187">
        <f>VLOOKUP($B58,'FLUJO DE CAJA PROYECTADO '!$B$13:$AI$66,'Control Flujo de caja'!AA$16,FALSE)</f>
        <v>147900</v>
      </c>
      <c r="AB58" s="187">
        <f>VLOOKUP($B58,REAL!$B$13:$AI$61,'Control Flujo de caja'!AB$16,FALSE)</f>
        <v>147900</v>
      </c>
      <c r="AC58" s="199">
        <f t="shared" si="98"/>
        <v>0</v>
      </c>
      <c r="AD58" s="187">
        <f>VLOOKUP($B58,'FLUJO DE CAJA PROYECTADO '!$B$13:$AI$66,'Control Flujo de caja'!AD$16,FALSE)</f>
        <v>0</v>
      </c>
      <c r="AE58" s="187">
        <f>VLOOKUP($B58,REAL!$B$13:$AI$61,'Control Flujo de caja'!AE$16,FALSE)</f>
        <v>0</v>
      </c>
      <c r="AF58" s="199">
        <f t="shared" si="99"/>
        <v>0</v>
      </c>
      <c r="AG58" s="187">
        <f>VLOOKUP($B58,'FLUJO DE CAJA PROYECTADO '!$B$13:$AI$66,'Control Flujo de caja'!AG$16,FALSE)</f>
        <v>146200</v>
      </c>
      <c r="AH58" s="187">
        <f>VLOOKUP($B58,REAL!$B$13:$AI$61,'Control Flujo de caja'!AH$16,FALSE)</f>
        <v>248000</v>
      </c>
      <c r="AI58" s="199">
        <f t="shared" si="100"/>
        <v>-101800</v>
      </c>
      <c r="AJ58" s="187">
        <f>VLOOKUP($B58,'FLUJO DE CAJA PROYECTADO '!$B$13:$AI$66,'Control Flujo de caja'!AJ$16,FALSE)</f>
        <v>146200</v>
      </c>
      <c r="AK58" s="187">
        <f>VLOOKUP($B58,REAL!$B$13:$AI$61,'Control Flujo de caja'!AK$16,FALSE)</f>
        <v>426000</v>
      </c>
      <c r="AL58" s="199">
        <f t="shared" si="101"/>
        <v>-279800</v>
      </c>
      <c r="AM58" s="187">
        <f>VLOOKUP($B58,'FLUJO DE CAJA PROYECTADO '!$B$13:$AN$66,'Control Flujo de caja'!AM$16,FALSE)</f>
        <v>146200</v>
      </c>
      <c r="AN58" s="187">
        <f>VLOOKUP($B58,REAL!$B$13:$AN$61,'Control Flujo de caja'!AN$16,FALSE)</f>
        <v>0</v>
      </c>
      <c r="AO58" s="199">
        <f t="shared" si="102"/>
        <v>146200</v>
      </c>
      <c r="AP58" s="187">
        <f>VLOOKUP($B58,'FLUJO DE CAJA PROYECTADO '!$B$13:$AS$66,'Control Flujo de caja'!AP$16,FALSE)</f>
        <v>146200</v>
      </c>
      <c r="AQ58" s="187">
        <f>VLOOKUP($B58,REAL!$B$13:$AS$61,'Control Flujo de caja'!AQ$16,FALSE)</f>
        <v>0</v>
      </c>
      <c r="AR58" s="199">
        <f t="shared" si="103"/>
        <v>146200</v>
      </c>
      <c r="AV58" s="220"/>
      <c r="AW58" s="220"/>
      <c r="AX58" s="220"/>
    </row>
    <row r="59" spans="2:50" ht="14" customHeight="1" x14ac:dyDescent="0.15">
      <c r="B59" s="47" t="s">
        <v>92</v>
      </c>
      <c r="C59" s="223" t="s">
        <v>93</v>
      </c>
      <c r="D59" s="224"/>
      <c r="E59" s="185">
        <f>VLOOKUP(B59,'FLUJO DE CAJA PROYECTADO '!$B$13:$J$61,3,FALSE)</f>
        <v>0</v>
      </c>
      <c r="F59" s="186">
        <f>VLOOKUP(B59,'FLUJO DE CAJA PROYECTADO '!$B$13:$J$61,9,FALSE)</f>
        <v>2190000</v>
      </c>
      <c r="G59" s="187">
        <f>VLOOKUP(B59,'FLUJO DE CAJA PROYECTADO '!$B$13:$J$61,8,FALSE)</f>
        <v>1539510</v>
      </c>
      <c r="H59" s="199">
        <f t="shared" si="21"/>
        <v>-1539510</v>
      </c>
      <c r="J59" s="185">
        <f>VLOOKUP($B59,ASEGURADO!$B$3:$J$51,3,FALSE)</f>
        <v>0</v>
      </c>
      <c r="K59" s="186">
        <f>VLOOKUP(B59,ASEGURADO!$B$3:$J$52,9,FALSE)</f>
        <v>2190000</v>
      </c>
      <c r="L59" s="187">
        <f>VLOOKUP($B59,ASEGURADO!$B$3:$J$52,8,FALSE)</f>
        <v>609510</v>
      </c>
      <c r="M59" s="199">
        <f t="shared" si="95"/>
        <v>930000</v>
      </c>
      <c r="P59" s="185">
        <f>VLOOKUP(B59,REAL!$B$13:$J$61,3,FALSE)</f>
        <v>0</v>
      </c>
      <c r="Q59" s="186">
        <f>VLOOKUP(B59,REAL!$B$13:$J$61,9,FALSE)</f>
        <v>2190000</v>
      </c>
      <c r="R59" s="187">
        <f>VLOOKUP(B59,REAL!$B$13:$J$61,6,FALSE)</f>
        <v>0</v>
      </c>
      <c r="S59" s="199">
        <f t="shared" si="7"/>
        <v>1539510</v>
      </c>
      <c r="U59" s="43">
        <f>VLOOKUP(B59,Contabilidad!$B$3:$D$51,3,FALSE)</f>
        <v>609510</v>
      </c>
      <c r="V59" s="199">
        <f t="shared" si="96"/>
        <v>-609510</v>
      </c>
      <c r="X59" s="187">
        <f>VLOOKUP($B59,'FLUJO DE CAJA PROYECTADO '!$B$13:$AI$66,'Control Flujo de caja'!X$16,FALSE)</f>
        <v>0</v>
      </c>
      <c r="Y59" s="187">
        <f>VLOOKUP($B59,REAL!$B$13:$AI$61,'Control Flujo de caja'!Y$16,FALSE)</f>
        <v>0</v>
      </c>
      <c r="Z59" s="199">
        <f t="shared" si="97"/>
        <v>0</v>
      </c>
      <c r="AA59" s="187">
        <f>VLOOKUP($B59,'FLUJO DE CAJA PROYECTADO '!$B$13:$AI$66,'Control Flujo de caja'!AA$16,FALSE)</f>
        <v>609510</v>
      </c>
      <c r="AB59" s="187">
        <f>VLOOKUP($B59,REAL!$B$13:$AI$61,'Control Flujo de caja'!AB$16,FALSE)</f>
        <v>609510</v>
      </c>
      <c r="AC59" s="199">
        <f t="shared" si="98"/>
        <v>0</v>
      </c>
      <c r="AD59" s="187">
        <f>VLOOKUP($B59,'FLUJO DE CAJA PROYECTADO '!$B$13:$AI$66,'Control Flujo de caja'!AD$16,FALSE)</f>
        <v>0</v>
      </c>
      <c r="AE59" s="187">
        <f>VLOOKUP($B59,REAL!$B$13:$AI$61,'Control Flujo de caja'!AE$16,FALSE)</f>
        <v>0</v>
      </c>
      <c r="AF59" s="199">
        <f t="shared" si="99"/>
        <v>0</v>
      </c>
      <c r="AG59" s="187">
        <f>VLOOKUP($B59,'FLUJO DE CAJA PROYECTADO '!$B$13:$AI$66,'Control Flujo de caja'!AG$16,FALSE)</f>
        <v>310000</v>
      </c>
      <c r="AH59" s="187">
        <f>VLOOKUP($B59,REAL!$B$13:$AI$61,'Control Flujo de caja'!AH$16,FALSE)</f>
        <v>0</v>
      </c>
      <c r="AI59" s="199">
        <f t="shared" si="100"/>
        <v>310000</v>
      </c>
      <c r="AJ59" s="187">
        <f>VLOOKUP($B59,'FLUJO DE CAJA PROYECTADO '!$B$13:$AI$66,'Control Flujo de caja'!AJ$16,FALSE)</f>
        <v>310000</v>
      </c>
      <c r="AK59" s="187">
        <f>VLOOKUP($B59,REAL!$B$13:$AI$61,'Control Flujo de caja'!AK$16,FALSE)</f>
        <v>0</v>
      </c>
      <c r="AL59" s="199">
        <f t="shared" si="101"/>
        <v>310000</v>
      </c>
      <c r="AM59" s="187">
        <f>VLOOKUP($B59,'FLUJO DE CAJA PROYECTADO '!$B$13:$AN$66,'Control Flujo de caja'!AM$16,FALSE)</f>
        <v>310000</v>
      </c>
      <c r="AN59" s="187">
        <f>VLOOKUP($B59,REAL!$B$13:$AN$61,'Control Flujo de caja'!AN$16,FALSE)</f>
        <v>0</v>
      </c>
      <c r="AO59" s="199">
        <f t="shared" si="102"/>
        <v>310000</v>
      </c>
      <c r="AP59" s="187">
        <f>VLOOKUP($B59,'FLUJO DE CAJA PROYECTADO '!$B$13:$AS$66,'Control Flujo de caja'!AP$16,FALSE)</f>
        <v>310000</v>
      </c>
      <c r="AQ59" s="187">
        <f>VLOOKUP($B59,REAL!$B$13:$AS$61,'Control Flujo de caja'!AQ$16,FALSE)</f>
        <v>0</v>
      </c>
      <c r="AR59" s="199">
        <f t="shared" si="103"/>
        <v>310000</v>
      </c>
      <c r="AV59" s="220"/>
      <c r="AW59" s="220"/>
      <c r="AX59" s="220"/>
    </row>
    <row r="60" spans="2:50" ht="14" customHeight="1" outlineLevel="2" x14ac:dyDescent="0.15">
      <c r="B60" s="47" t="s">
        <v>94</v>
      </c>
      <c r="C60" s="223" t="s">
        <v>95</v>
      </c>
      <c r="D60" s="224"/>
      <c r="E60" s="185">
        <f>VLOOKUP(B60,'FLUJO DE CAJA PROYECTADO '!$B$13:$J$61,3,FALSE)</f>
        <v>0</v>
      </c>
      <c r="F60" s="186">
        <f>VLOOKUP(B60,'FLUJO DE CAJA PROYECTADO '!$B$13:$J$61,9,FALSE)</f>
        <v>480000</v>
      </c>
      <c r="G60" s="187">
        <f>VLOOKUP(B60,'FLUJO DE CAJA PROYECTADO '!$B$13:$J$61,8,FALSE)</f>
        <v>6707000</v>
      </c>
      <c r="H60" s="199">
        <f t="shared" si="21"/>
        <v>-6707000</v>
      </c>
      <c r="J60" s="185">
        <f>VLOOKUP($B60,ASEGURADO!$B$3:$J$51,3,FALSE)</f>
        <v>0</v>
      </c>
      <c r="K60" s="186">
        <f>VLOOKUP(B60,ASEGURADO!$B$3:$J$52,9,FALSE)</f>
        <v>480000</v>
      </c>
      <c r="L60" s="187">
        <f>VLOOKUP($B60,ASEGURADO!$B$3:$J$52,8,FALSE)</f>
        <v>240000</v>
      </c>
      <c r="M60" s="199">
        <f t="shared" si="95"/>
        <v>6467000</v>
      </c>
      <c r="P60" s="185">
        <f>VLOOKUP(B60,REAL!$B$13:$J$61,3,FALSE)</f>
        <v>0</v>
      </c>
      <c r="Q60" s="186">
        <f>VLOOKUP(B60,REAL!$B$13:$J$61,9,FALSE)</f>
        <v>480000</v>
      </c>
      <c r="R60" s="187">
        <f>VLOOKUP(B60,REAL!$B$13:$J$61,6,FALSE)</f>
        <v>0</v>
      </c>
      <c r="S60" s="199">
        <f t="shared" si="7"/>
        <v>6707000</v>
      </c>
      <c r="U60" s="43">
        <f>VLOOKUP(B60,Contabilidad!$B$3:$D$51,3,FALSE)</f>
        <v>0</v>
      </c>
      <c r="V60" s="199">
        <f t="shared" si="96"/>
        <v>0</v>
      </c>
      <c r="X60" s="187">
        <f>VLOOKUP($B60,'FLUJO DE CAJA PROYECTADO '!$B$13:$AI$66,'Control Flujo de caja'!X$16,FALSE)</f>
        <v>0</v>
      </c>
      <c r="Y60" s="187">
        <f>VLOOKUP($B60,REAL!$B$13:$AI$61,'Control Flujo de caja'!Y$16,FALSE)</f>
        <v>0</v>
      </c>
      <c r="Z60" s="199">
        <f t="shared" si="97"/>
        <v>0</v>
      </c>
      <c r="AA60" s="187">
        <f>VLOOKUP($B60,'FLUJO DE CAJA PROYECTADO '!$B$13:$AI$66,'Control Flujo de caja'!AA$16,FALSE)</f>
        <v>240000</v>
      </c>
      <c r="AB60" s="187">
        <f>VLOOKUP($B60,REAL!$B$13:$AI$61,'Control Flujo de caja'!AB$16,FALSE)</f>
        <v>240000</v>
      </c>
      <c r="AC60" s="199">
        <f t="shared" si="98"/>
        <v>0</v>
      </c>
      <c r="AD60" s="187">
        <f>VLOOKUP($B60,'FLUJO DE CAJA PROYECTADO '!$B$13:$AI$66,'Control Flujo de caja'!AD$16,FALSE)</f>
        <v>887000</v>
      </c>
      <c r="AE60" s="187">
        <f>VLOOKUP($B60,REAL!$B$13:$AI$61,'Control Flujo de caja'!AE$16,FALSE)</f>
        <v>887000</v>
      </c>
      <c r="AF60" s="199">
        <f t="shared" si="99"/>
        <v>0</v>
      </c>
      <c r="AG60" s="187">
        <f>VLOOKUP($B60,'FLUJO DE CAJA PROYECTADO '!$B$13:$AI$66,'Control Flujo de caja'!AG$16,FALSE)</f>
        <v>1860000</v>
      </c>
      <c r="AH60" s="187">
        <f>VLOOKUP($B60,REAL!$B$13:$AI$61,'Control Flujo de caja'!AH$16,FALSE)</f>
        <v>1860000</v>
      </c>
      <c r="AI60" s="199">
        <f t="shared" si="100"/>
        <v>0</v>
      </c>
      <c r="AJ60" s="187">
        <f>VLOOKUP($B60,'FLUJO DE CAJA PROYECTADO '!$B$13:$AI$66,'Control Flujo de caja'!AJ$16,FALSE)</f>
        <v>1860000</v>
      </c>
      <c r="AK60" s="187">
        <f>VLOOKUP($B60,REAL!$B$13:$AI$61,'Control Flujo de caja'!AK$16,FALSE)</f>
        <v>1874000</v>
      </c>
      <c r="AL60" s="199">
        <f t="shared" si="101"/>
        <v>-14000</v>
      </c>
      <c r="AM60" s="187">
        <f>VLOOKUP($B60,'FLUJO DE CAJA PROYECTADO '!$B$13:$AN$66,'Control Flujo de caja'!AM$16,FALSE)</f>
        <v>1860000</v>
      </c>
      <c r="AN60" s="187">
        <f>VLOOKUP($B60,REAL!$B$13:$AN$61,'Control Flujo de caja'!AN$16,FALSE)</f>
        <v>0</v>
      </c>
      <c r="AO60" s="199">
        <f t="shared" si="102"/>
        <v>1860000</v>
      </c>
      <c r="AP60" s="187">
        <f>VLOOKUP($B60,'FLUJO DE CAJA PROYECTADO '!$B$13:$AS$66,'Control Flujo de caja'!AP$16,FALSE)</f>
        <v>1860000</v>
      </c>
      <c r="AQ60" s="187">
        <f>VLOOKUP($B60,REAL!$B$13:$AS$61,'Control Flujo de caja'!AQ$16,FALSE)</f>
        <v>0</v>
      </c>
      <c r="AR60" s="199">
        <f t="shared" si="103"/>
        <v>1860000</v>
      </c>
      <c r="AV60" s="220"/>
      <c r="AW60" s="220"/>
      <c r="AX60" s="220"/>
    </row>
    <row r="61" spans="2:50" ht="14" customHeight="1" outlineLevel="3" x14ac:dyDescent="0.15">
      <c r="B61" s="41">
        <v>4</v>
      </c>
      <c r="C61" s="56" t="s">
        <v>96</v>
      </c>
      <c r="D61" s="176">
        <f t="shared" ref="D61:R62" si="104">D62</f>
        <v>0</v>
      </c>
      <c r="E61" s="179">
        <f t="shared" si="104"/>
        <v>0</v>
      </c>
      <c r="F61" s="122">
        <f t="shared" si="104"/>
        <v>11448635</v>
      </c>
      <c r="G61" s="180">
        <f t="shared" si="104"/>
        <v>11448635.5</v>
      </c>
      <c r="H61" s="350">
        <f t="shared" si="21"/>
        <v>-11448635.5</v>
      </c>
      <c r="J61" s="179">
        <f t="shared" si="104"/>
        <v>0</v>
      </c>
      <c r="K61" s="179">
        <f t="shared" si="104"/>
        <v>11448635</v>
      </c>
      <c r="L61" s="179">
        <f t="shared" si="104"/>
        <v>0</v>
      </c>
      <c r="M61" s="202">
        <f t="shared" si="104"/>
        <v>11448635.5</v>
      </c>
      <c r="P61" s="179">
        <f t="shared" si="104"/>
        <v>0</v>
      </c>
      <c r="Q61" s="122">
        <f t="shared" si="104"/>
        <v>11448635</v>
      </c>
      <c r="R61" s="180">
        <f t="shared" si="104"/>
        <v>0</v>
      </c>
      <c r="S61" s="350">
        <f t="shared" si="7"/>
        <v>11448635.5</v>
      </c>
      <c r="U61" s="43">
        <f>VLOOKUP(B61,Contabilidad!$B$3:$D$51,3,FALSE)</f>
        <v>0</v>
      </c>
      <c r="V61" s="202">
        <f t="shared" ref="V61:V62" si="105">V62</f>
        <v>0</v>
      </c>
      <c r="X61" s="180">
        <f t="shared" ref="X61:AM62" si="106">X62</f>
        <v>0</v>
      </c>
      <c r="Y61" s="180">
        <f t="shared" si="106"/>
        <v>0</v>
      </c>
      <c r="Z61" s="202">
        <f t="shared" si="106"/>
        <v>0</v>
      </c>
      <c r="AA61" s="180">
        <f t="shared" si="106"/>
        <v>0</v>
      </c>
      <c r="AB61" s="180">
        <f t="shared" si="106"/>
        <v>0</v>
      </c>
      <c r="AC61" s="202">
        <f t="shared" si="106"/>
        <v>0</v>
      </c>
      <c r="AD61" s="180">
        <f t="shared" si="106"/>
        <v>0</v>
      </c>
      <c r="AE61" s="180">
        <f t="shared" si="106"/>
        <v>0</v>
      </c>
      <c r="AF61" s="202">
        <f t="shared" si="106"/>
        <v>0</v>
      </c>
      <c r="AG61" s="180">
        <f t="shared" si="106"/>
        <v>0</v>
      </c>
      <c r="AH61" s="180">
        <f t="shared" si="106"/>
        <v>0</v>
      </c>
      <c r="AI61" s="202">
        <f t="shared" si="106"/>
        <v>0</v>
      </c>
      <c r="AJ61" s="180">
        <f t="shared" si="106"/>
        <v>11448635.5</v>
      </c>
      <c r="AK61" s="180">
        <f t="shared" si="106"/>
        <v>0</v>
      </c>
      <c r="AL61" s="202">
        <f t="shared" si="106"/>
        <v>11448635.5</v>
      </c>
      <c r="AM61" s="180">
        <f t="shared" si="106"/>
        <v>0</v>
      </c>
      <c r="AN61" s="180">
        <f t="shared" ref="AM61:AN62" si="107">AN62</f>
        <v>0</v>
      </c>
      <c r="AO61" s="202">
        <f t="shared" ref="AO61:AR62" si="108">AO62</f>
        <v>0</v>
      </c>
      <c r="AP61" s="180">
        <f t="shared" si="108"/>
        <v>0</v>
      </c>
      <c r="AQ61" s="180">
        <f t="shared" si="108"/>
        <v>0</v>
      </c>
      <c r="AR61" s="202">
        <f t="shared" si="108"/>
        <v>0</v>
      </c>
      <c r="AV61" s="220"/>
      <c r="AW61" s="220"/>
      <c r="AX61" s="220"/>
    </row>
    <row r="62" spans="2:50" ht="14" customHeight="1" outlineLevel="4" x14ac:dyDescent="0.15">
      <c r="B62" s="44" t="s">
        <v>97</v>
      </c>
      <c r="C62" s="45" t="s">
        <v>98</v>
      </c>
      <c r="D62" s="191">
        <f t="shared" si="104"/>
        <v>0</v>
      </c>
      <c r="E62" s="182">
        <f t="shared" si="104"/>
        <v>0</v>
      </c>
      <c r="F62" s="183">
        <f t="shared" si="104"/>
        <v>11448635</v>
      </c>
      <c r="G62" s="184">
        <f t="shared" si="104"/>
        <v>11448635.5</v>
      </c>
      <c r="H62" s="350">
        <f t="shared" si="21"/>
        <v>-11448635.5</v>
      </c>
      <c r="J62" s="182">
        <f t="shared" si="104"/>
        <v>0</v>
      </c>
      <c r="K62" s="182">
        <f t="shared" si="104"/>
        <v>11448635</v>
      </c>
      <c r="L62" s="182">
        <f t="shared" si="104"/>
        <v>0</v>
      </c>
      <c r="M62" s="198">
        <f t="shared" si="104"/>
        <v>11448635.5</v>
      </c>
      <c r="P62" s="182">
        <f t="shared" si="104"/>
        <v>0</v>
      </c>
      <c r="Q62" s="183">
        <f t="shared" si="104"/>
        <v>11448635</v>
      </c>
      <c r="R62" s="184">
        <f t="shared" si="104"/>
        <v>0</v>
      </c>
      <c r="S62" s="350">
        <f t="shared" si="7"/>
        <v>11448635.5</v>
      </c>
      <c r="U62" s="43">
        <f>VLOOKUP(B62,Contabilidad!$B$3:$D$51,3,FALSE)</f>
        <v>0</v>
      </c>
      <c r="V62" s="198">
        <f t="shared" si="105"/>
        <v>0</v>
      </c>
      <c r="X62" s="184">
        <f t="shared" si="106"/>
        <v>0</v>
      </c>
      <c r="Y62" s="184">
        <f t="shared" si="106"/>
        <v>0</v>
      </c>
      <c r="Z62" s="198">
        <f t="shared" si="106"/>
        <v>0</v>
      </c>
      <c r="AA62" s="184">
        <f t="shared" si="106"/>
        <v>0</v>
      </c>
      <c r="AB62" s="184">
        <f t="shared" si="106"/>
        <v>0</v>
      </c>
      <c r="AC62" s="198">
        <f t="shared" si="106"/>
        <v>0</v>
      </c>
      <c r="AD62" s="184">
        <f t="shared" si="106"/>
        <v>0</v>
      </c>
      <c r="AE62" s="184">
        <f t="shared" si="106"/>
        <v>0</v>
      </c>
      <c r="AF62" s="198">
        <f t="shared" si="106"/>
        <v>0</v>
      </c>
      <c r="AG62" s="184">
        <f t="shared" si="106"/>
        <v>0</v>
      </c>
      <c r="AH62" s="184">
        <f t="shared" si="106"/>
        <v>0</v>
      </c>
      <c r="AI62" s="198">
        <f t="shared" si="106"/>
        <v>0</v>
      </c>
      <c r="AJ62" s="184">
        <f t="shared" si="106"/>
        <v>11448635.5</v>
      </c>
      <c r="AK62" s="184">
        <f t="shared" si="106"/>
        <v>0</v>
      </c>
      <c r="AL62" s="198">
        <f t="shared" si="106"/>
        <v>11448635.5</v>
      </c>
      <c r="AM62" s="184">
        <f t="shared" si="107"/>
        <v>0</v>
      </c>
      <c r="AN62" s="184">
        <f t="shared" si="107"/>
        <v>0</v>
      </c>
      <c r="AO62" s="198">
        <f t="shared" si="108"/>
        <v>0</v>
      </c>
      <c r="AP62" s="184">
        <f t="shared" si="108"/>
        <v>0</v>
      </c>
      <c r="AQ62" s="184">
        <f t="shared" si="108"/>
        <v>0</v>
      </c>
      <c r="AR62" s="198">
        <f t="shared" si="108"/>
        <v>0</v>
      </c>
      <c r="AV62" s="220"/>
      <c r="AW62" s="220"/>
      <c r="AX62" s="220"/>
    </row>
    <row r="63" spans="2:50" ht="14" customHeight="1" x14ac:dyDescent="0.15">
      <c r="B63" s="127" t="s">
        <v>99</v>
      </c>
      <c r="C63" s="229" t="s">
        <v>98</v>
      </c>
      <c r="D63" s="230"/>
      <c r="E63" s="185">
        <f>VLOOKUP(B63,'FLUJO DE CAJA PROYECTADO '!$B$13:$J$61,3,FALSE)</f>
        <v>0</v>
      </c>
      <c r="F63" s="186">
        <f>VLOOKUP(B63,'FLUJO DE CAJA PROYECTADO '!$B$13:$J$61,9,FALSE)</f>
        <v>11448635</v>
      </c>
      <c r="G63" s="187">
        <f>VLOOKUP(B63,'FLUJO DE CAJA PROYECTADO '!$B$13:$J$61,8,FALSE)</f>
        <v>11448635.5</v>
      </c>
      <c r="H63" s="199">
        <f t="shared" si="21"/>
        <v>-11448635.5</v>
      </c>
      <c r="J63" s="185">
        <f>VLOOKUP($B63,ASEGURADO!$B$3:$J$51,3,FALSE)</f>
        <v>0</v>
      </c>
      <c r="K63" s="186">
        <f>VLOOKUP(B63,ASEGURADO!$B$3:$J$52,9,FALSE)</f>
        <v>11448635</v>
      </c>
      <c r="L63" s="187">
        <f>VLOOKUP($B63,ASEGURADO!$B$3:$J$52,8,FALSE)</f>
        <v>0</v>
      </c>
      <c r="M63" s="199">
        <f>G63-L63</f>
        <v>11448635.5</v>
      </c>
      <c r="P63" s="185">
        <f>VLOOKUP(B63,REAL!$B$13:$J$61,3,FALSE)</f>
        <v>0</v>
      </c>
      <c r="Q63" s="186">
        <f>VLOOKUP(B63,REAL!$B$13:$J$61,9,FALSE)</f>
        <v>11448635</v>
      </c>
      <c r="R63" s="187">
        <f>VLOOKUP(B63,REAL!$B$13:$J$61,6,FALSE)</f>
        <v>0</v>
      </c>
      <c r="S63" s="199">
        <f t="shared" si="7"/>
        <v>11448635.5</v>
      </c>
      <c r="U63" s="43">
        <f>VLOOKUP(B63,Contabilidad!$B$3:$D$51,3,FALSE)</f>
        <v>0</v>
      </c>
      <c r="V63" s="199">
        <f>R63-U63</f>
        <v>0</v>
      </c>
      <c r="X63" s="187">
        <f>VLOOKUP($B63,'FLUJO DE CAJA PROYECTADO '!$B$13:$AI$66,'Control Flujo de caja'!X$16,FALSE)</f>
        <v>0</v>
      </c>
      <c r="Y63" s="187">
        <f>VLOOKUP($B63,REAL!$B$13:$AI$61,'Control Flujo de caja'!Y$16,FALSE)</f>
        <v>0</v>
      </c>
      <c r="Z63" s="199">
        <f t="shared" ref="Z63" si="109">X63-Y63</f>
        <v>0</v>
      </c>
      <c r="AA63" s="187">
        <f>VLOOKUP($B63,'FLUJO DE CAJA PROYECTADO '!$B$13:$AI$66,'Control Flujo de caja'!AA$16,FALSE)</f>
        <v>0</v>
      </c>
      <c r="AB63" s="187">
        <f>VLOOKUP($B63,REAL!$B$13:$AI$61,'Control Flujo de caja'!AB$16,FALSE)</f>
        <v>0</v>
      </c>
      <c r="AC63" s="199">
        <f t="shared" ref="AC63" si="110">AA63-AB63</f>
        <v>0</v>
      </c>
      <c r="AD63" s="187">
        <f>VLOOKUP($B63,'FLUJO DE CAJA PROYECTADO '!$B$13:$AI$66,'Control Flujo de caja'!AD$16,FALSE)</f>
        <v>0</v>
      </c>
      <c r="AE63" s="187">
        <f>VLOOKUP($B63,REAL!$B$13:$AI$61,'Control Flujo de caja'!AE$16,FALSE)</f>
        <v>0</v>
      </c>
      <c r="AF63" s="199">
        <f t="shared" ref="AF63" si="111">AD63-AE63</f>
        <v>0</v>
      </c>
      <c r="AG63" s="187">
        <f>VLOOKUP($B63,'FLUJO DE CAJA PROYECTADO '!$B$13:$AI$66,'Control Flujo de caja'!AG$16,FALSE)</f>
        <v>0</v>
      </c>
      <c r="AH63" s="187">
        <f>VLOOKUP($B63,REAL!$B$13:$AI$61,'Control Flujo de caja'!AH$16,FALSE)</f>
        <v>0</v>
      </c>
      <c r="AI63" s="199">
        <f t="shared" ref="AI63" si="112">AG63-AH63</f>
        <v>0</v>
      </c>
      <c r="AJ63" s="187">
        <f>VLOOKUP($B63,'FLUJO DE CAJA PROYECTADO '!$B$13:$AI$66,'Control Flujo de caja'!AJ$16,FALSE)</f>
        <v>11448635.5</v>
      </c>
      <c r="AK63" s="187">
        <f>VLOOKUP($B63,REAL!$B$13:$AI$61,'Control Flujo de caja'!AK$16,FALSE)</f>
        <v>0</v>
      </c>
      <c r="AL63" s="199">
        <f t="shared" ref="AL63" si="113">AJ63-AK63</f>
        <v>11448635.5</v>
      </c>
      <c r="AM63" s="187">
        <f>VLOOKUP($B63,'FLUJO DE CAJA PROYECTADO '!$B$13:$AN$66,'Control Flujo de caja'!AM$16,FALSE)</f>
        <v>0</v>
      </c>
      <c r="AN63" s="187">
        <f>VLOOKUP($B63,REAL!$B$13:$AN$61,'Control Flujo de caja'!AN$16,FALSE)</f>
        <v>0</v>
      </c>
      <c r="AO63" s="199">
        <f>AM63-AN63</f>
        <v>0</v>
      </c>
      <c r="AP63" s="187">
        <f>VLOOKUP($B63,'FLUJO DE CAJA PROYECTADO '!$B$13:$AS$66,'Control Flujo de caja'!AP$16,FALSE)</f>
        <v>0</v>
      </c>
      <c r="AQ63" s="187">
        <f>VLOOKUP($B63,REAL!$B$13:$AS$61,'Control Flujo de caja'!AQ$16,FALSE)</f>
        <v>0</v>
      </c>
      <c r="AR63" s="199">
        <f t="shared" ref="AR63" si="114">AP63-AQ63</f>
        <v>0</v>
      </c>
      <c r="AV63" s="220"/>
      <c r="AW63" s="220"/>
      <c r="AX63" s="220"/>
    </row>
    <row r="64" spans="2:50" ht="14" customHeight="1" x14ac:dyDescent="0.15">
      <c r="B64" s="41">
        <v>5</v>
      </c>
      <c r="C64" s="56" t="s">
        <v>100</v>
      </c>
      <c r="D64" s="176">
        <f t="shared" ref="D64:R64" si="115">SUM(D65)</f>
        <v>0</v>
      </c>
      <c r="E64" s="179">
        <f t="shared" si="115"/>
        <v>313</v>
      </c>
      <c r="F64" s="122">
        <f t="shared" si="115"/>
        <v>2045743.2799999998</v>
      </c>
      <c r="G64" s="180">
        <f t="shared" si="115"/>
        <v>243444435.63999999</v>
      </c>
      <c r="H64" s="350">
        <f t="shared" si="21"/>
        <v>-243444435.63999999</v>
      </c>
      <c r="J64" s="179">
        <f t="shared" si="115"/>
        <v>313</v>
      </c>
      <c r="K64" s="179">
        <f t="shared" si="115"/>
        <v>2045743.2799999998</v>
      </c>
      <c r="L64" s="179">
        <f t="shared" si="115"/>
        <v>243248685.39999998</v>
      </c>
      <c r="M64" s="202">
        <f t="shared" si="115"/>
        <v>195750.23999999976</v>
      </c>
      <c r="P64" s="179">
        <f t="shared" si="115"/>
        <v>313</v>
      </c>
      <c r="Q64" s="122">
        <f t="shared" si="115"/>
        <v>2045743.2799999998</v>
      </c>
      <c r="R64" s="180">
        <f t="shared" si="115"/>
        <v>71708195.719999999</v>
      </c>
      <c r="S64" s="350">
        <f t="shared" si="7"/>
        <v>171736239.91999999</v>
      </c>
      <c r="U64" s="43">
        <f>VLOOKUP(B64,Contabilidad!$B$3:$D$51,3,FALSE)</f>
        <v>48133429.399999999</v>
      </c>
      <c r="V64" s="202">
        <f t="shared" ref="V64" si="116">SUM(V65)</f>
        <v>23574766.32</v>
      </c>
      <c r="X64" s="180">
        <f t="shared" ref="X64:AR64" si="117">SUM(X65)</f>
        <v>0</v>
      </c>
      <c r="Y64" s="180">
        <f t="shared" si="117"/>
        <v>0</v>
      </c>
      <c r="Z64" s="202">
        <f t="shared" si="117"/>
        <v>0</v>
      </c>
      <c r="AA64" s="180">
        <f t="shared" si="117"/>
        <v>93907564.799999982</v>
      </c>
      <c r="AB64" s="180">
        <f t="shared" si="117"/>
        <v>0</v>
      </c>
      <c r="AC64" s="202">
        <f t="shared" si="117"/>
        <v>93907564.799999982</v>
      </c>
      <c r="AD64" s="180">
        <f t="shared" si="117"/>
        <v>0</v>
      </c>
      <c r="AE64" s="180">
        <f t="shared" si="117"/>
        <v>48329179.639999993</v>
      </c>
      <c r="AF64" s="202">
        <f t="shared" si="117"/>
        <v>-48329179.639999993</v>
      </c>
      <c r="AG64" s="180">
        <f t="shared" si="117"/>
        <v>149536870.84</v>
      </c>
      <c r="AH64" s="180">
        <f t="shared" si="117"/>
        <v>0</v>
      </c>
      <c r="AI64" s="202">
        <f t="shared" si="117"/>
        <v>149536870.84</v>
      </c>
      <c r="AJ64" s="180">
        <f t="shared" si="117"/>
        <v>0</v>
      </c>
      <c r="AK64" s="180">
        <f t="shared" si="117"/>
        <v>0</v>
      </c>
      <c r="AL64" s="202">
        <f t="shared" si="117"/>
        <v>0</v>
      </c>
      <c r="AM64" s="180">
        <f t="shared" si="117"/>
        <v>0</v>
      </c>
      <c r="AN64" s="180">
        <f t="shared" si="117"/>
        <v>23379016.079999994</v>
      </c>
      <c r="AO64" s="202">
        <f t="shared" si="117"/>
        <v>-23379016.079999994</v>
      </c>
      <c r="AP64" s="180">
        <f t="shared" si="117"/>
        <v>0</v>
      </c>
      <c r="AQ64" s="180">
        <f t="shared" si="117"/>
        <v>171540489.68000001</v>
      </c>
      <c r="AR64" s="202">
        <f t="shared" si="117"/>
        <v>-171540489.68000001</v>
      </c>
      <c r="AV64" s="220"/>
      <c r="AW64" s="220"/>
      <c r="AX64" s="220"/>
    </row>
    <row r="65" spans="2:50" ht="14" customHeight="1" x14ac:dyDescent="0.15">
      <c r="B65" s="44" t="s">
        <v>101</v>
      </c>
      <c r="C65" s="45" t="s">
        <v>102</v>
      </c>
      <c r="D65" s="191">
        <f>D66+D70</f>
        <v>0</v>
      </c>
      <c r="E65" s="182">
        <f>E66+E70</f>
        <v>313</v>
      </c>
      <c r="F65" s="183">
        <f t="shared" ref="F65:G65" si="118">F66+F70</f>
        <v>2045743.2799999998</v>
      </c>
      <c r="G65" s="184">
        <f t="shared" si="118"/>
        <v>243444435.63999999</v>
      </c>
      <c r="H65" s="350">
        <f t="shared" si="21"/>
        <v>-243444435.63999999</v>
      </c>
      <c r="J65" s="182">
        <f t="shared" ref="J65:M65" si="119">J66+J70</f>
        <v>313</v>
      </c>
      <c r="K65" s="182">
        <f t="shared" ref="K65:L65" si="120">K66+K70</f>
        <v>2045743.2799999998</v>
      </c>
      <c r="L65" s="182">
        <f t="shared" si="120"/>
        <v>243248685.39999998</v>
      </c>
      <c r="M65" s="198">
        <f t="shared" si="119"/>
        <v>195750.23999999976</v>
      </c>
      <c r="P65" s="182">
        <f t="shared" ref="P65" si="121">P66+P70</f>
        <v>313</v>
      </c>
      <c r="Q65" s="183">
        <f t="shared" ref="Q65" si="122">Q66+Q70</f>
        <v>2045743.2799999998</v>
      </c>
      <c r="R65" s="184">
        <f t="shared" ref="R65" si="123">R66+R70</f>
        <v>71708195.719999999</v>
      </c>
      <c r="S65" s="350">
        <f t="shared" si="7"/>
        <v>171736239.91999999</v>
      </c>
      <c r="U65" s="43">
        <f>VLOOKUP(B65,Contabilidad!$B$3:$D$51,3,FALSE)</f>
        <v>48133429.399999999</v>
      </c>
      <c r="V65" s="198">
        <f t="shared" ref="V65" si="124">V66+V70</f>
        <v>23574766.32</v>
      </c>
      <c r="X65" s="184">
        <f t="shared" ref="X65" si="125">X66+X70</f>
        <v>0</v>
      </c>
      <c r="Y65" s="184">
        <f t="shared" ref="Y65:Z65" si="126">Y66+Y70</f>
        <v>0</v>
      </c>
      <c r="Z65" s="198">
        <f t="shared" si="126"/>
        <v>0</v>
      </c>
      <c r="AA65" s="184">
        <f t="shared" ref="AA65" si="127">AA66+AA70</f>
        <v>93907564.799999982</v>
      </c>
      <c r="AB65" s="184">
        <f t="shared" ref="AB65" si="128">AB66+AB70</f>
        <v>0</v>
      </c>
      <c r="AC65" s="198">
        <f t="shared" ref="AC65" si="129">AC66+AC70</f>
        <v>93907564.799999982</v>
      </c>
      <c r="AD65" s="184">
        <f t="shared" ref="AD65" si="130">AD66+AD70</f>
        <v>0</v>
      </c>
      <c r="AE65" s="184">
        <f t="shared" ref="AE65" si="131">AE66+AE70</f>
        <v>48329179.639999993</v>
      </c>
      <c r="AF65" s="198">
        <f t="shared" ref="AF65" si="132">AF66+AF70</f>
        <v>-48329179.639999993</v>
      </c>
      <c r="AG65" s="184">
        <f t="shared" ref="AG65" si="133">AG66+AG70</f>
        <v>149536870.84</v>
      </c>
      <c r="AH65" s="184">
        <f t="shared" ref="AH65" si="134">AH66+AH70</f>
        <v>0</v>
      </c>
      <c r="AI65" s="198">
        <f t="shared" ref="AI65" si="135">AI66+AI70</f>
        <v>149536870.84</v>
      </c>
      <c r="AJ65" s="184">
        <f t="shared" ref="AJ65" si="136">AJ66+AJ70</f>
        <v>0</v>
      </c>
      <c r="AK65" s="184">
        <f t="shared" ref="AK65" si="137">AK66+AK70</f>
        <v>0</v>
      </c>
      <c r="AL65" s="198">
        <f t="shared" ref="AL65" si="138">AL66+AL70</f>
        <v>0</v>
      </c>
      <c r="AM65" s="184">
        <f t="shared" ref="AM65" si="139">AM66+AM70</f>
        <v>0</v>
      </c>
      <c r="AN65" s="184">
        <f t="shared" ref="AN65" si="140">AN66+AN70</f>
        <v>23379016.079999994</v>
      </c>
      <c r="AO65" s="198">
        <f t="shared" ref="AO65:AR65" si="141">AO66+AO70</f>
        <v>-23379016.079999994</v>
      </c>
      <c r="AP65" s="184">
        <f t="shared" si="141"/>
        <v>0</v>
      </c>
      <c r="AQ65" s="184">
        <f t="shared" si="141"/>
        <v>171540489.68000001</v>
      </c>
      <c r="AR65" s="198">
        <f t="shared" si="141"/>
        <v>-171540489.68000001</v>
      </c>
      <c r="AV65" s="220"/>
      <c r="AW65" s="220"/>
      <c r="AX65" s="220"/>
    </row>
    <row r="66" spans="2:50" ht="14" customHeight="1" x14ac:dyDescent="0.15">
      <c r="B66" s="141" t="s">
        <v>103</v>
      </c>
      <c r="C66" s="142" t="s">
        <v>104</v>
      </c>
      <c r="D66" s="192">
        <f>SUM(D67:D69)</f>
        <v>0</v>
      </c>
      <c r="E66" s="193">
        <f>SUM(E67:E69)</f>
        <v>149</v>
      </c>
      <c r="F66" s="194">
        <f t="shared" ref="F66:G66" si="142">SUM(F67:F69)</f>
        <v>866096.27999999991</v>
      </c>
      <c r="G66" s="195">
        <f t="shared" si="142"/>
        <v>93907564.799999982</v>
      </c>
      <c r="H66" s="350">
        <f t="shared" si="21"/>
        <v>-93907564.799999982</v>
      </c>
      <c r="J66" s="193">
        <f t="shared" ref="J66:M66" si="143">SUM(J67:J69)</f>
        <v>149</v>
      </c>
      <c r="K66" s="193">
        <f t="shared" ref="K66:L66" si="144">SUM(K67:K69)</f>
        <v>866096.27999999991</v>
      </c>
      <c r="L66" s="193">
        <f t="shared" si="144"/>
        <v>93711814.559999987</v>
      </c>
      <c r="M66" s="201">
        <f t="shared" si="143"/>
        <v>195750.23999999976</v>
      </c>
      <c r="P66" s="193">
        <f t="shared" ref="P66" si="145">SUM(P67:P69)</f>
        <v>149</v>
      </c>
      <c r="Q66" s="194">
        <f t="shared" ref="Q66" si="146">SUM(Q67:Q69)</f>
        <v>866096.27999999991</v>
      </c>
      <c r="R66" s="195">
        <f t="shared" ref="R66" si="147">SUM(R67:R69)</f>
        <v>70528548.719999999</v>
      </c>
      <c r="S66" s="350">
        <f t="shared" si="7"/>
        <v>23379016.079999983</v>
      </c>
      <c r="U66" s="43">
        <f>VLOOKUP(B66,Contabilidad!$B$3:$D$51,3,FALSE)</f>
        <v>0</v>
      </c>
      <c r="V66" s="201">
        <f t="shared" ref="V66" si="148">SUM(V67:V69)</f>
        <v>22395119.32</v>
      </c>
      <c r="X66" s="195">
        <f t="shared" ref="X66" si="149">SUM(X67:X69)</f>
        <v>0</v>
      </c>
      <c r="Y66" s="195">
        <f t="shared" ref="Y66:Z66" si="150">SUM(Y67:Y69)</f>
        <v>0</v>
      </c>
      <c r="Z66" s="201">
        <f t="shared" si="150"/>
        <v>0</v>
      </c>
      <c r="AA66" s="195">
        <f t="shared" ref="AA66" si="151">SUM(AA67:AA69)</f>
        <v>93907564.799999982</v>
      </c>
      <c r="AB66" s="195">
        <f t="shared" ref="AB66" si="152">SUM(AB67:AB69)</f>
        <v>0</v>
      </c>
      <c r="AC66" s="201">
        <f t="shared" ref="AC66" si="153">SUM(AC67:AC69)</f>
        <v>93907564.799999982</v>
      </c>
      <c r="AD66" s="195">
        <f t="shared" ref="AD66" si="154">SUM(AD67:AD69)</f>
        <v>0</v>
      </c>
      <c r="AE66" s="195">
        <f t="shared" ref="AE66" si="155">SUM(AE67:AE69)</f>
        <v>47149532.639999993</v>
      </c>
      <c r="AF66" s="201">
        <f t="shared" ref="AF66" si="156">SUM(AF67:AF69)</f>
        <v>-47149532.639999993</v>
      </c>
      <c r="AG66" s="195">
        <f t="shared" ref="AG66" si="157">SUM(AG67:AG69)</f>
        <v>0</v>
      </c>
      <c r="AH66" s="195">
        <f t="shared" ref="AH66" si="158">SUM(AH67:AH69)</f>
        <v>0</v>
      </c>
      <c r="AI66" s="201">
        <f t="shared" ref="AI66" si="159">SUM(AI67:AI69)</f>
        <v>0</v>
      </c>
      <c r="AJ66" s="195">
        <f t="shared" ref="AJ66" si="160">SUM(AJ67:AJ69)</f>
        <v>0</v>
      </c>
      <c r="AK66" s="195">
        <f t="shared" ref="AK66" si="161">SUM(AK67:AK69)</f>
        <v>0</v>
      </c>
      <c r="AL66" s="201">
        <f t="shared" ref="AL66" si="162">SUM(AL67:AL69)</f>
        <v>0</v>
      </c>
      <c r="AM66" s="195">
        <f t="shared" ref="AM66" si="163">SUM(AM67:AM69)</f>
        <v>0</v>
      </c>
      <c r="AN66" s="195">
        <f t="shared" ref="AN66" si="164">SUM(AN67:AN69)</f>
        <v>23379016.079999994</v>
      </c>
      <c r="AO66" s="201">
        <f t="shared" ref="AO66:AR66" si="165">SUM(AO67:AO69)</f>
        <v>-23379016.079999994</v>
      </c>
      <c r="AP66" s="195">
        <f t="shared" si="165"/>
        <v>0</v>
      </c>
      <c r="AQ66" s="195">
        <f t="shared" si="165"/>
        <v>23183265.839999996</v>
      </c>
      <c r="AR66" s="201">
        <f t="shared" si="165"/>
        <v>-23183265.839999996</v>
      </c>
      <c r="AV66" s="220"/>
      <c r="AW66" s="220"/>
      <c r="AX66" s="220"/>
    </row>
    <row r="67" spans="2:50" ht="14" customHeight="1" x14ac:dyDescent="0.15">
      <c r="B67" s="117" t="s">
        <v>105</v>
      </c>
      <c r="C67" s="229" t="s">
        <v>106</v>
      </c>
      <c r="D67" s="226"/>
      <c r="E67" s="185">
        <f>VLOOKUP(B67,'FLUJO DE CAJA PROYECTADO '!$B$13:$J$61,3,FALSE)</f>
        <v>136</v>
      </c>
      <c r="F67" s="186">
        <f>VLOOKUP(B67,'FLUJO DE CAJA PROYECTADO '!$B$13:$J$61,9,FALSE)</f>
        <v>670346.03999999992</v>
      </c>
      <c r="G67" s="187">
        <f>VLOOKUP(B67,'FLUJO DE CAJA PROYECTADO '!$B$13:$J$61,8,FALSE)</f>
        <v>91167061.439999983</v>
      </c>
      <c r="H67" s="199">
        <f t="shared" si="21"/>
        <v>-91167061.439999983</v>
      </c>
      <c r="J67" s="185">
        <f>VLOOKUP($B67,ASEGURADO!$B$3:$J$51,3,FALSE)</f>
        <v>136</v>
      </c>
      <c r="K67" s="186">
        <f>VLOOKUP(B67,ASEGURADO!$B$3:$J$52,9,FALSE)</f>
        <v>670346.03999999992</v>
      </c>
      <c r="L67" s="187">
        <f>VLOOKUP($B67,ASEGURADO!$B$3:$J$52,8,FALSE)</f>
        <v>91167061.439999983</v>
      </c>
      <c r="M67" s="199">
        <f t="shared" ref="M67:M69" si="166">G67-L67</f>
        <v>0</v>
      </c>
      <c r="P67" s="185">
        <f>VLOOKUP(B67,REAL!$B$13:$J$61,3,FALSE)</f>
        <v>136</v>
      </c>
      <c r="Q67" s="186">
        <f>VLOOKUP(B67,REAL!$B$13:$J$61,9,FALSE)</f>
        <v>670346.03999999992</v>
      </c>
      <c r="R67" s="187">
        <f>VLOOKUP(B67,REAL!$B$13:$J$61,8,FALSE)</f>
        <v>68375296.079999998</v>
      </c>
      <c r="S67" s="199">
        <f t="shared" si="7"/>
        <v>22791765.359999985</v>
      </c>
      <c r="U67" s="43">
        <f>VLOOKUP(B67,Contabilidad!$B$3:$D$51,3,FALSE)</f>
        <v>48133429.399999999</v>
      </c>
      <c r="V67" s="199">
        <f t="shared" ref="V67:V69" si="167">R67-U67</f>
        <v>20241866.68</v>
      </c>
      <c r="X67" s="187">
        <f>VLOOKUP($B67,'FLUJO DE CAJA PROYECTADO '!$B$13:$AI$66,'Control Flujo de caja'!X$16,FALSE)*VLOOKUP($B67,'FLUJO DE CAJA PROYECTADO '!$B$13:$AI$66,9,FALSE)</f>
        <v>0</v>
      </c>
      <c r="Y67" s="187">
        <f>VLOOKUP($B67,REAL!$B$13:$AI$61,'Control Flujo de caja'!Y$16,FALSE)*VLOOKUP($B67,REAL!$B$13:$AI$61,9,FALSE)</f>
        <v>0</v>
      </c>
      <c r="Z67" s="199">
        <f t="shared" ref="Z67:Z69" si="168">X67-Y67</f>
        <v>0</v>
      </c>
      <c r="AA67" s="187">
        <f>VLOOKUP($B67,'FLUJO DE CAJA PROYECTADO '!$B$13:$AI$66,'Control Flujo de caja'!AA$16,FALSE)*VLOOKUP($B67,'FLUJO DE CAJA PROYECTADO '!$B$13:$AI$66,9,FALSE)</f>
        <v>91167061.439999983</v>
      </c>
      <c r="AB67" s="187">
        <f>VLOOKUP($B67,REAL!$B$13:$AI$61,'Control Flujo de caja'!AB$16,FALSE)*VLOOKUP($B67,REAL!$B$13:$AI$61,9,FALSE)</f>
        <v>0</v>
      </c>
      <c r="AC67" s="199">
        <f t="shared" ref="AC67:AC69" si="169">AA67-AB67</f>
        <v>91167061.439999983</v>
      </c>
      <c r="AD67" s="187">
        <f>VLOOKUP($B67,'FLUJO DE CAJA PROYECTADO '!$B$13:$AI$66,'Control Flujo de caja'!AD$16,FALSE)*VLOOKUP($B67,'FLUJO DE CAJA PROYECTADO '!$B$13:$AI$66,9,FALSE)</f>
        <v>0</v>
      </c>
      <c r="AE67" s="187">
        <f>VLOOKUP($B67,REAL!$B$13:$AI$61,'Control Flujo de caja'!AE$16,FALSE)*VLOOKUP($B67,REAL!$B$13:$AI$61,9,FALSE)</f>
        <v>45583530.719999991</v>
      </c>
      <c r="AF67" s="199">
        <f t="shared" ref="AF67:AF69" si="170">AD67-AE67</f>
        <v>-45583530.719999991</v>
      </c>
      <c r="AG67" s="187">
        <f>VLOOKUP($B67,'FLUJO DE CAJA PROYECTADO '!$B$13:$AI$66,'Control Flujo de caja'!AG$16,FALSE)*VLOOKUP($B67,'FLUJO DE CAJA PROYECTADO '!$B$13:$AI$66,9,FALSE)</f>
        <v>0</v>
      </c>
      <c r="AH67" s="187">
        <f>VLOOKUP($B67,REAL!$B$13:$AI$61,'Control Flujo de caja'!AH$16,FALSE)*VLOOKUP($B67,REAL!$B$13:$AI$61,9,FALSE)</f>
        <v>0</v>
      </c>
      <c r="AI67" s="199">
        <f t="shared" ref="AI67:AI69" si="171">AG67-AH67</f>
        <v>0</v>
      </c>
      <c r="AJ67" s="187">
        <f>VLOOKUP($B67,'FLUJO DE CAJA PROYECTADO '!$B$13:$AI$66,'Control Flujo de caja'!AJ$16,FALSE)*VLOOKUP($B67,'FLUJO DE CAJA PROYECTADO '!$B$13:$AI$66,9,FALSE)</f>
        <v>0</v>
      </c>
      <c r="AK67" s="187">
        <f>VLOOKUP($B67,REAL!$B$13:$AI$61,'Control Flujo de caja'!AK$16,FALSE)*VLOOKUP($B67,REAL!$B$13:$AI$61,9,FALSE)</f>
        <v>0</v>
      </c>
      <c r="AL67" s="199">
        <f t="shared" ref="AL67:AL69" si="172">AJ67-AK67</f>
        <v>0</v>
      </c>
      <c r="AM67" s="187">
        <f>VLOOKUP($B67,'FLUJO DE CAJA PROYECTADO '!$B$13:$AN$66,'Control Flujo de caja'!AM$16,FALSE)</f>
        <v>0</v>
      </c>
      <c r="AN67" s="187">
        <f>VLOOKUP($B67,REAL!$B$13:$AS$610,'Control Flujo de caja'!AN$16,FALSE)*REAL!$J53</f>
        <v>22791765.359999996</v>
      </c>
      <c r="AO67" s="199">
        <f t="shared" ref="AO67:AO69" si="173">AM67-AN67</f>
        <v>-22791765.359999996</v>
      </c>
      <c r="AP67" s="187">
        <f>VLOOKUP($B67,'FLUJO DE CAJA PROYECTADO '!$B$13:$AS$66,'Control Flujo de caja'!AP$16,FALSE)</f>
        <v>0</v>
      </c>
      <c r="AQ67" s="187">
        <f>VLOOKUP($B67,REAL!$B$13:$AS$610,'Control Flujo de caja'!AQ$16,FALSE)*REAL!$J53</f>
        <v>22791765.359999996</v>
      </c>
      <c r="AR67" s="199">
        <f t="shared" ref="AR67:AR69" si="174">AP67-AQ67</f>
        <v>-22791765.359999996</v>
      </c>
      <c r="AV67" s="220"/>
      <c r="AW67" s="220"/>
      <c r="AX67" s="220"/>
    </row>
    <row r="68" spans="2:50" ht="14" customHeight="1" x14ac:dyDescent="0.15">
      <c r="B68" s="117" t="s">
        <v>108</v>
      </c>
      <c r="C68" s="229" t="s">
        <v>109</v>
      </c>
      <c r="D68" s="226"/>
      <c r="E68" s="185">
        <f>VLOOKUP(B68,'FLUJO DE CAJA PROYECTADO '!$B$13:$J$61,3,FALSE)</f>
        <v>0</v>
      </c>
      <c r="F68" s="186">
        <f>VLOOKUP(B68,'FLUJO DE CAJA PROYECTADO '!$B$13:$J$61,9,FALSE)</f>
        <v>0</v>
      </c>
      <c r="G68" s="187">
        <f>VLOOKUP(B68,'FLUJO DE CAJA PROYECTADO '!$B$13:$J$61,8,FALSE)</f>
        <v>0</v>
      </c>
      <c r="H68" s="199">
        <f t="shared" si="21"/>
        <v>0</v>
      </c>
      <c r="J68" s="185">
        <f>VLOOKUP($B68,ASEGURADO!$B$3:$J$51,3,FALSE)</f>
        <v>0</v>
      </c>
      <c r="K68" s="186">
        <f>VLOOKUP(B68,ASEGURADO!$B$3:$J$52,9,FALSE)</f>
        <v>0</v>
      </c>
      <c r="L68" s="187">
        <f>VLOOKUP($B68,ASEGURADO!$B$3:$J$52,8,FALSE)</f>
        <v>0</v>
      </c>
      <c r="M68" s="199">
        <f t="shared" si="166"/>
        <v>0</v>
      </c>
      <c r="P68" s="185">
        <f>VLOOKUP(B68,REAL!$B$13:$J$61,3,FALSE)</f>
        <v>0</v>
      </c>
      <c r="Q68" s="186">
        <f>VLOOKUP(B68,REAL!$B$13:$J$61,9,FALSE)</f>
        <v>0</v>
      </c>
      <c r="R68" s="187">
        <f>VLOOKUP(B68,REAL!$B$13:$J$61,8,FALSE)</f>
        <v>0</v>
      </c>
      <c r="S68" s="199">
        <f t="shared" si="7"/>
        <v>0</v>
      </c>
      <c r="U68" s="43">
        <f>VLOOKUP(B68,Contabilidad!$B$3:$D$51,3,FALSE)</f>
        <v>0</v>
      </c>
      <c r="V68" s="199">
        <f t="shared" si="167"/>
        <v>0</v>
      </c>
      <c r="X68" s="187">
        <f>VLOOKUP($B68,'FLUJO DE CAJA PROYECTADO '!$B$13:$AI$66,'Control Flujo de caja'!X$16,FALSE)*VLOOKUP($B68,'FLUJO DE CAJA PROYECTADO '!$B$13:$AI$66,9,FALSE)</f>
        <v>0</v>
      </c>
      <c r="Y68" s="187">
        <f>VLOOKUP($B68,REAL!$B$13:$AI$61,'Control Flujo de caja'!Y$16,FALSE)*VLOOKUP($B68,REAL!$B$13:$AI$61,9,FALSE)</f>
        <v>0</v>
      </c>
      <c r="Z68" s="199">
        <f t="shared" si="168"/>
        <v>0</v>
      </c>
      <c r="AA68" s="187">
        <f>VLOOKUP($B68,'FLUJO DE CAJA PROYECTADO '!$B$13:$AI$66,'Control Flujo de caja'!AA$16,FALSE)*VLOOKUP($B68,'FLUJO DE CAJA PROYECTADO '!$B$13:$AI$66,9,FALSE)</f>
        <v>0</v>
      </c>
      <c r="AB68" s="187">
        <f>VLOOKUP($B68,REAL!$B$13:$AI$61,'Control Flujo de caja'!AB$16,FALSE)*VLOOKUP($B68,REAL!$B$13:$AI$61,9,FALSE)</f>
        <v>0</v>
      </c>
      <c r="AC68" s="199">
        <f t="shared" si="169"/>
        <v>0</v>
      </c>
      <c r="AD68" s="187">
        <f>VLOOKUP($B68,'FLUJO DE CAJA PROYECTADO '!$B$13:$AI$66,'Control Flujo de caja'!AD$16,FALSE)*VLOOKUP($B68,'FLUJO DE CAJA PROYECTADO '!$B$13:$AI$66,9,FALSE)</f>
        <v>0</v>
      </c>
      <c r="AE68" s="187">
        <f>VLOOKUP($B68,REAL!$B$13:$AI$61,'Control Flujo de caja'!AE$16,FALSE)*VLOOKUP($B68,REAL!$B$13:$AI$61,9,FALSE)</f>
        <v>0</v>
      </c>
      <c r="AF68" s="199">
        <f t="shared" si="170"/>
        <v>0</v>
      </c>
      <c r="AG68" s="187">
        <f>VLOOKUP($B68,'FLUJO DE CAJA PROYECTADO '!$B$13:$AI$66,'Control Flujo de caja'!AG$16,FALSE)*VLOOKUP($B68,'FLUJO DE CAJA PROYECTADO '!$B$13:$AI$66,9,FALSE)</f>
        <v>0</v>
      </c>
      <c r="AH68" s="187">
        <f>VLOOKUP($B68,REAL!$B$13:$AI$61,'Control Flujo de caja'!AH$16,FALSE)*VLOOKUP($B68,REAL!$B$13:$AI$61,9,FALSE)</f>
        <v>0</v>
      </c>
      <c r="AI68" s="199">
        <f t="shared" si="171"/>
        <v>0</v>
      </c>
      <c r="AJ68" s="187">
        <f>VLOOKUP($B68,'FLUJO DE CAJA PROYECTADO '!$B$13:$AI$66,'Control Flujo de caja'!AJ$16,FALSE)*VLOOKUP($B68,'FLUJO DE CAJA PROYECTADO '!$B$13:$AI$66,9,FALSE)</f>
        <v>0</v>
      </c>
      <c r="AK68" s="187">
        <f>VLOOKUP($B68,REAL!$B$13:$AI$61,'Control Flujo de caja'!AK$16,FALSE)*VLOOKUP($B68,REAL!$B$13:$AI$61,9,FALSE)</f>
        <v>0</v>
      </c>
      <c r="AL68" s="199">
        <f t="shared" si="172"/>
        <v>0</v>
      </c>
      <c r="AM68" s="187">
        <f>VLOOKUP($B68,'FLUJO DE CAJA PROYECTADO '!$B$13:$AN$66,'Control Flujo de caja'!AM$16,FALSE)</f>
        <v>0</v>
      </c>
      <c r="AN68" s="187">
        <f>VLOOKUP($B68,REAL!$B$13:$AS$610,'Control Flujo de caja'!AN$16,FALSE)*REAL!$J54</f>
        <v>0</v>
      </c>
      <c r="AO68" s="199">
        <f t="shared" si="173"/>
        <v>0</v>
      </c>
      <c r="AP68" s="187">
        <f>VLOOKUP($B68,'FLUJO DE CAJA PROYECTADO '!$B$13:$AS$66,'Control Flujo de caja'!AP$16,FALSE)</f>
        <v>0</v>
      </c>
      <c r="AQ68" s="187">
        <f>VLOOKUP($B68,REAL!$B$13:$AS$610,'Control Flujo de caja'!AQ$16,FALSE)*REAL!$J54</f>
        <v>0</v>
      </c>
      <c r="AR68" s="199">
        <f t="shared" si="174"/>
        <v>0</v>
      </c>
      <c r="AV68" s="220"/>
      <c r="AW68" s="220"/>
      <c r="AX68" s="220"/>
    </row>
    <row r="69" spans="2:50" ht="14" customHeight="1" x14ac:dyDescent="0.15">
      <c r="B69" s="117" t="s">
        <v>110</v>
      </c>
      <c r="C69" s="229" t="s">
        <v>111</v>
      </c>
      <c r="D69" s="226"/>
      <c r="E69" s="185">
        <f>VLOOKUP(B69,'FLUJO DE CAJA PROYECTADO '!$B$13:$J$61,3,FALSE)</f>
        <v>13</v>
      </c>
      <c r="F69" s="186">
        <f>VLOOKUP(B69,'FLUJO DE CAJA PROYECTADO '!$B$13:$J$61,9,FALSE)</f>
        <v>195750.24</v>
      </c>
      <c r="G69" s="187">
        <f>VLOOKUP(B69,'FLUJO DE CAJA PROYECTADO '!$B$13:$J$61,8,FALSE)</f>
        <v>2740503.36</v>
      </c>
      <c r="H69" s="199">
        <f t="shared" si="21"/>
        <v>-2740503.36</v>
      </c>
      <c r="J69" s="185">
        <f>VLOOKUP($B69,ASEGURADO!$B$3:$J$51,3,FALSE)</f>
        <v>13</v>
      </c>
      <c r="K69" s="186">
        <f>VLOOKUP(B69,ASEGURADO!$B$3:$J$52,9,FALSE)</f>
        <v>195750.24</v>
      </c>
      <c r="L69" s="187">
        <f>VLOOKUP($B69,ASEGURADO!$B$3:$J$52,8,FALSE)</f>
        <v>2544753.12</v>
      </c>
      <c r="M69" s="199">
        <f t="shared" si="166"/>
        <v>195750.23999999976</v>
      </c>
      <c r="P69" s="185">
        <f>VLOOKUP(B69,REAL!$B$13:$J$61,3,FALSE)</f>
        <v>13</v>
      </c>
      <c r="Q69" s="186">
        <f>VLOOKUP(B69,REAL!$B$13:$J$61,9,FALSE)</f>
        <v>195750.24</v>
      </c>
      <c r="R69" s="187">
        <f>VLOOKUP(B69,REAL!$B$13:$J$61,8,FALSE)</f>
        <v>2153252.6399999997</v>
      </c>
      <c r="S69" s="199">
        <f t="shared" si="7"/>
        <v>587250.7200000002</v>
      </c>
      <c r="U69" s="43">
        <f>VLOOKUP(B69,Contabilidad!$B$3:$D$51,3,FALSE)</f>
        <v>0</v>
      </c>
      <c r="V69" s="199">
        <f t="shared" si="167"/>
        <v>2153252.6399999997</v>
      </c>
      <c r="X69" s="187">
        <f>VLOOKUP($B69,'FLUJO DE CAJA PROYECTADO '!$B$13:$AI$66,'Control Flujo de caja'!X$16,FALSE)*VLOOKUP($B69,'FLUJO DE CAJA PROYECTADO '!$B$13:$AI$66,9,FALSE)</f>
        <v>0</v>
      </c>
      <c r="Y69" s="187">
        <f>VLOOKUP($B69,REAL!$B$13:$AI$61,'Control Flujo de caja'!Y$16,FALSE)*VLOOKUP($B69,REAL!$B$13:$AI$61,9,FALSE)</f>
        <v>0</v>
      </c>
      <c r="Z69" s="199">
        <f t="shared" si="168"/>
        <v>0</v>
      </c>
      <c r="AA69" s="187">
        <f>VLOOKUP($B69,'FLUJO DE CAJA PROYECTADO '!$B$13:$AI$66,'Control Flujo de caja'!AA$16,FALSE)*VLOOKUP($B69,'FLUJO DE CAJA PROYECTADO '!$B$13:$AI$66,9,FALSE)</f>
        <v>2740503.36</v>
      </c>
      <c r="AB69" s="187">
        <f>VLOOKUP($B69,REAL!$B$13:$AI$61,'Control Flujo de caja'!AB$16,FALSE)*VLOOKUP($B69,REAL!$B$13:$AI$61,9,FALSE)</f>
        <v>0</v>
      </c>
      <c r="AC69" s="199">
        <f t="shared" si="169"/>
        <v>2740503.36</v>
      </c>
      <c r="AD69" s="187">
        <f>VLOOKUP($B69,'FLUJO DE CAJA PROYECTADO '!$B$13:$AI$66,'Control Flujo de caja'!AD$16,FALSE)*VLOOKUP($B69,'FLUJO DE CAJA PROYECTADO '!$B$13:$AI$66,9,FALSE)</f>
        <v>0</v>
      </c>
      <c r="AE69" s="187">
        <f>VLOOKUP($B69,REAL!$B$13:$AI$61,'Control Flujo de caja'!AE$16,FALSE)*VLOOKUP($B69,REAL!$B$13:$AI$61,9,FALSE)</f>
        <v>1566001.92</v>
      </c>
      <c r="AF69" s="199">
        <f t="shared" si="170"/>
        <v>-1566001.92</v>
      </c>
      <c r="AG69" s="187">
        <f>VLOOKUP($B69,'FLUJO DE CAJA PROYECTADO '!$B$13:$AI$66,'Control Flujo de caja'!AG$16,FALSE)*VLOOKUP($B69,'FLUJO DE CAJA PROYECTADO '!$B$13:$AI$66,9,FALSE)</f>
        <v>0</v>
      </c>
      <c r="AH69" s="187">
        <f>VLOOKUP($B69,REAL!$B$13:$AI$61,'Control Flujo de caja'!AH$16,FALSE)*VLOOKUP($B69,REAL!$B$13:$AI$61,9,FALSE)</f>
        <v>0</v>
      </c>
      <c r="AI69" s="199">
        <f t="shared" si="171"/>
        <v>0</v>
      </c>
      <c r="AJ69" s="187">
        <f>VLOOKUP($B69,'FLUJO DE CAJA PROYECTADO '!$B$13:$AI$66,'Control Flujo de caja'!AJ$16,FALSE)*VLOOKUP($B69,'FLUJO DE CAJA PROYECTADO '!$B$13:$AI$66,9,FALSE)</f>
        <v>0</v>
      </c>
      <c r="AK69" s="187">
        <f>VLOOKUP($B69,REAL!$B$13:$AI$61,'Control Flujo de caja'!AK$16,FALSE)*VLOOKUP($B69,REAL!$B$13:$AI$61,9,FALSE)</f>
        <v>0</v>
      </c>
      <c r="AL69" s="199">
        <f t="shared" si="172"/>
        <v>0</v>
      </c>
      <c r="AM69" s="187">
        <f>VLOOKUP($B69,'FLUJO DE CAJA PROYECTADO '!$B$13:$AN$66,'Control Flujo de caja'!AM$16,FALSE)</f>
        <v>0</v>
      </c>
      <c r="AN69" s="187">
        <f>VLOOKUP($B69,REAL!$B$13:$AS$610,'Control Flujo de caja'!AN$16,FALSE)*REAL!$J55</f>
        <v>587250.72</v>
      </c>
      <c r="AO69" s="199">
        <f t="shared" si="173"/>
        <v>-587250.72</v>
      </c>
      <c r="AP69" s="187">
        <f>VLOOKUP($B69,'FLUJO DE CAJA PROYECTADO '!$B$13:$AS$66,'Control Flujo de caja'!AP$16,FALSE)</f>
        <v>0</v>
      </c>
      <c r="AQ69" s="187">
        <f>VLOOKUP($B69,REAL!$B$13:$AS$610,'Control Flujo de caja'!AQ$16,FALSE)*REAL!$J55</f>
        <v>391500.48</v>
      </c>
      <c r="AR69" s="199">
        <f t="shared" si="174"/>
        <v>-391500.48</v>
      </c>
      <c r="AV69" s="220"/>
      <c r="AW69" s="220"/>
      <c r="AX69" s="220"/>
    </row>
    <row r="70" spans="2:50" ht="14" customHeight="1" x14ac:dyDescent="0.15">
      <c r="B70" s="141" t="s">
        <v>112</v>
      </c>
      <c r="C70" s="142" t="s">
        <v>113</v>
      </c>
      <c r="D70" s="192">
        <f>SUM(D71:D73)</f>
        <v>0</v>
      </c>
      <c r="E70" s="193">
        <f>SUM(E71:E73)</f>
        <v>164</v>
      </c>
      <c r="F70" s="194">
        <f t="shared" ref="F70:G70" si="175">SUM(F71:F73)</f>
        <v>1179647</v>
      </c>
      <c r="G70" s="195">
        <f t="shared" si="175"/>
        <v>149536870.84</v>
      </c>
      <c r="H70" s="350">
        <f t="shared" si="21"/>
        <v>-149536870.84</v>
      </c>
      <c r="J70" s="193">
        <f t="shared" ref="J70:M70" si="176">SUM(J71:J73)</f>
        <v>164</v>
      </c>
      <c r="K70" s="193">
        <f t="shared" si="176"/>
        <v>1179647</v>
      </c>
      <c r="L70" s="193">
        <f t="shared" si="176"/>
        <v>149536870.84</v>
      </c>
      <c r="M70" s="201">
        <f t="shared" si="176"/>
        <v>0</v>
      </c>
      <c r="P70" s="193">
        <f t="shared" ref="P70" si="177">SUM(P71:P73)</f>
        <v>164</v>
      </c>
      <c r="Q70" s="194">
        <f t="shared" ref="Q70" si="178">SUM(Q71:Q73)</f>
        <v>1179647</v>
      </c>
      <c r="R70" s="195">
        <f t="shared" ref="R70" si="179">SUM(R71:R73)</f>
        <v>1179647</v>
      </c>
      <c r="S70" s="350">
        <f t="shared" si="7"/>
        <v>148357223.84</v>
      </c>
      <c r="U70" s="43">
        <f>VLOOKUP(B70,Contabilidad!$B$3:$D$51,3,FALSE)</f>
        <v>0</v>
      </c>
      <c r="V70" s="201">
        <f t="shared" ref="V70" si="180">SUM(V71:V73)</f>
        <v>1179647</v>
      </c>
      <c r="X70" s="195">
        <f t="shared" ref="X70" si="181">SUM(X71:X73)</f>
        <v>0</v>
      </c>
      <c r="Y70" s="195">
        <f t="shared" ref="Y70:Z70" si="182">SUM(Y71:Y73)</f>
        <v>0</v>
      </c>
      <c r="Z70" s="201">
        <f t="shared" si="182"/>
        <v>0</v>
      </c>
      <c r="AA70" s="195">
        <f t="shared" ref="AA70" si="183">SUM(AA71:AA73)</f>
        <v>0</v>
      </c>
      <c r="AB70" s="195">
        <f t="shared" ref="AB70" si="184">SUM(AB71:AB73)</f>
        <v>0</v>
      </c>
      <c r="AC70" s="201">
        <f t="shared" ref="AC70" si="185">SUM(AC71:AC73)</f>
        <v>0</v>
      </c>
      <c r="AD70" s="195">
        <f t="shared" ref="AD70" si="186">SUM(AD71:AD73)</f>
        <v>0</v>
      </c>
      <c r="AE70" s="195">
        <f t="shared" ref="AE70" si="187">SUM(AE71:AE73)</f>
        <v>1179647</v>
      </c>
      <c r="AF70" s="201">
        <f t="shared" ref="AF70" si="188">SUM(AF71:AF73)</f>
        <v>-1179647</v>
      </c>
      <c r="AG70" s="195">
        <f t="shared" ref="AG70" si="189">SUM(AG71:AG73)</f>
        <v>149536870.84</v>
      </c>
      <c r="AH70" s="195">
        <f t="shared" ref="AH70" si="190">SUM(AH71:AH73)</f>
        <v>0</v>
      </c>
      <c r="AI70" s="201">
        <f t="shared" ref="AI70" si="191">SUM(AI71:AI73)</f>
        <v>149536870.84</v>
      </c>
      <c r="AJ70" s="195">
        <f t="shared" ref="AJ70" si="192">SUM(AJ71:AJ73)</f>
        <v>0</v>
      </c>
      <c r="AK70" s="195">
        <f t="shared" ref="AK70" si="193">SUM(AK71:AK73)</f>
        <v>0</v>
      </c>
      <c r="AL70" s="201">
        <f t="shared" ref="AL70" si="194">SUM(AL71:AL73)</f>
        <v>0</v>
      </c>
      <c r="AM70" s="195">
        <f t="shared" ref="AM70" si="195">SUM(AM71:AM73)</f>
        <v>0</v>
      </c>
      <c r="AN70" s="195">
        <f t="shared" ref="AN70" si="196">SUM(AN71:AN73)</f>
        <v>0</v>
      </c>
      <c r="AO70" s="201">
        <f t="shared" ref="AO70:AR70" si="197">SUM(AO71:AO73)</f>
        <v>0</v>
      </c>
      <c r="AP70" s="195">
        <f t="shared" si="197"/>
        <v>0</v>
      </c>
      <c r="AQ70" s="195">
        <f t="shared" si="197"/>
        <v>148357223.84</v>
      </c>
      <c r="AR70" s="201">
        <f t="shared" si="197"/>
        <v>-148357223.84</v>
      </c>
      <c r="AV70" s="220"/>
      <c r="AW70" s="220"/>
      <c r="AX70" s="220"/>
    </row>
    <row r="71" spans="2:50" ht="14" customHeight="1" x14ac:dyDescent="0.15">
      <c r="B71" s="117" t="s">
        <v>114</v>
      </c>
      <c r="C71" s="229" t="s">
        <v>115</v>
      </c>
      <c r="D71" s="226"/>
      <c r="E71" s="185">
        <f>VLOOKUP(B71,'FLUJO DE CAJA PROYECTADO '!$B$13:$J$61,3,FALSE)</f>
        <v>149</v>
      </c>
      <c r="F71" s="186">
        <f>VLOOKUP(B71,'FLUJO DE CAJA PROYECTADO '!$B$13:$J$61,9,FALSE)</f>
        <v>983896.76</v>
      </c>
      <c r="G71" s="187">
        <f>VLOOKUP(B71,'FLUJO DE CAJA PROYECTADO '!$B$13:$J$61,8,FALSE)</f>
        <v>146600617.24000001</v>
      </c>
      <c r="H71" s="199">
        <f t="shared" si="21"/>
        <v>-146600617.24000001</v>
      </c>
      <c r="J71" s="185">
        <f>VLOOKUP($B71,ASEGURADO!$B$3:$J$51,3,FALSE)</f>
        <v>149</v>
      </c>
      <c r="K71" s="186">
        <f>VLOOKUP(B71,ASEGURADO!$B$3:$J$52,9,FALSE)</f>
        <v>983896.76</v>
      </c>
      <c r="L71" s="187">
        <f>VLOOKUP($B71,ASEGURADO!$B$3:$J$52,8,FALSE)</f>
        <v>146600617.24000001</v>
      </c>
      <c r="M71" s="199">
        <f t="shared" ref="M71:M73" si="198">G71-L71</f>
        <v>0</v>
      </c>
      <c r="P71" s="185">
        <f>VLOOKUP(B71,REAL!$B$13:$J$61,3,FALSE)</f>
        <v>149</v>
      </c>
      <c r="Q71" s="186">
        <f>VLOOKUP(B71,REAL!$B$13:$J$61,9,FALSE)</f>
        <v>983896.76</v>
      </c>
      <c r="R71" s="187">
        <f>VLOOKUP(B71,REAL!$B$13:$J$61,8,FALSE)</f>
        <v>983896.76</v>
      </c>
      <c r="S71" s="199">
        <f t="shared" si="7"/>
        <v>145616720.48000002</v>
      </c>
      <c r="U71" s="43">
        <f>VLOOKUP(B71,Contabilidad!$B$3:$D$51,3,FALSE)</f>
        <v>0</v>
      </c>
      <c r="V71" s="199">
        <f t="shared" ref="V71:V73" si="199">R71-U71</f>
        <v>983896.76</v>
      </c>
      <c r="X71" s="187">
        <f>VLOOKUP($B71,'FLUJO DE CAJA PROYECTADO '!$B$13:$AI$66,'Control Flujo de caja'!X$16,FALSE)*VLOOKUP($B71,'FLUJO DE CAJA PROYECTADO '!$B$13:$AI$66,9,FALSE)</f>
        <v>0</v>
      </c>
      <c r="Y71" s="187">
        <f>VLOOKUP($B71,REAL!$B$13:$AI$61,'Control Flujo de caja'!Y$16,FALSE)*VLOOKUP($B71,REAL!$B$13:$AI$61,9,FALSE)</f>
        <v>0</v>
      </c>
      <c r="Z71" s="199">
        <f t="shared" ref="Z71:Z73" si="200">X71-Y71</f>
        <v>0</v>
      </c>
      <c r="AA71" s="187">
        <f>VLOOKUP($B71,'FLUJO DE CAJA PROYECTADO '!$B$13:$AI$66,'Control Flujo de caja'!AA$16,FALSE)*VLOOKUP($B71,'FLUJO DE CAJA PROYECTADO '!$B$13:$AI$66,9,FALSE)</f>
        <v>0</v>
      </c>
      <c r="AB71" s="187">
        <f>VLOOKUP($B71,REAL!$B$13:$AI$61,'Control Flujo de caja'!AB$16,FALSE)*VLOOKUP($B71,REAL!$B$13:$AI$61,9,FALSE)</f>
        <v>0</v>
      </c>
      <c r="AC71" s="199">
        <f t="shared" ref="AC71:AC73" si="201">AA71-AB71</f>
        <v>0</v>
      </c>
      <c r="AD71" s="187">
        <f>VLOOKUP($B71,'FLUJO DE CAJA PROYECTADO '!$B$13:$AI$66,'Control Flujo de caja'!AD$16,FALSE)*VLOOKUP($B71,'FLUJO DE CAJA PROYECTADO '!$B$13:$AI$66,9,FALSE)</f>
        <v>0</v>
      </c>
      <c r="AE71" s="187">
        <f>VLOOKUP($B71,REAL!$B$13:$AI$61,'Control Flujo de caja'!AE$16,FALSE)*VLOOKUP($B71,REAL!$B$13:$AI$61,9,FALSE)</f>
        <v>983896.76</v>
      </c>
      <c r="AF71" s="199">
        <f t="shared" ref="AF71:AF73" si="202">AD71-AE71</f>
        <v>-983896.76</v>
      </c>
      <c r="AG71" s="187">
        <f>VLOOKUP($B71,'FLUJO DE CAJA PROYECTADO '!$B$13:$AI$66,'Control Flujo de caja'!AG$16,FALSE)*VLOOKUP($B71,'FLUJO DE CAJA PROYECTADO '!$B$13:$AI$66,9,FALSE)</f>
        <v>146600617.24000001</v>
      </c>
      <c r="AH71" s="187">
        <f>VLOOKUP($B71,REAL!$B$13:$AI$61,'Control Flujo de caja'!AH$16,FALSE)*VLOOKUP($B71,REAL!$B$13:$AI$61,9,FALSE)</f>
        <v>0</v>
      </c>
      <c r="AI71" s="199">
        <f t="shared" ref="AI71:AI73" si="203">AG71-AH71</f>
        <v>146600617.24000001</v>
      </c>
      <c r="AJ71" s="187">
        <f>VLOOKUP($B71,'FLUJO DE CAJA PROYECTADO '!$B$13:$AI$66,'Control Flujo de caja'!AJ$16,FALSE)*VLOOKUP($B71,'FLUJO DE CAJA PROYECTADO '!$B$13:$AI$66,9,FALSE)</f>
        <v>0</v>
      </c>
      <c r="AK71" s="187">
        <f>VLOOKUP($B71,REAL!$B$13:$AI$61,'Control Flujo de caja'!AK$16,FALSE)*VLOOKUP($B71,REAL!$B$13:$AI$61,9,FALSE)</f>
        <v>0</v>
      </c>
      <c r="AL71" s="199">
        <f t="shared" ref="AL71:AL73" si="204">AJ71-AK71</f>
        <v>0</v>
      </c>
      <c r="AM71" s="187">
        <f>VLOOKUP($B71,'FLUJO DE CAJA PROYECTADO '!$B$13:$AN$66,'Control Flujo de caja'!AM$16,FALSE)</f>
        <v>0</v>
      </c>
      <c r="AN71" s="187">
        <f>VLOOKUP($B71,REAL!$B$13:$AS$610,'Control Flujo de caja'!AN$16,FALSE)*REAL!$J57</f>
        <v>0</v>
      </c>
      <c r="AO71" s="199">
        <f t="shared" ref="AO71:AO73" si="205">AM71-AN71</f>
        <v>0</v>
      </c>
      <c r="AP71" s="187">
        <f>VLOOKUP($B71,'FLUJO DE CAJA PROYECTADO '!$B$13:$AS$66,'Control Flujo de caja'!AP$16,FALSE)</f>
        <v>0</v>
      </c>
      <c r="AQ71" s="187">
        <f>VLOOKUP($B71,REAL!$B$13:$AS$610,'Control Flujo de caja'!AQ$16,FALSE)*REAL!$J57</f>
        <v>145616720.47999999</v>
      </c>
      <c r="AR71" s="199">
        <f t="shared" ref="AR71:AR73" si="206">AP71-AQ71</f>
        <v>-145616720.47999999</v>
      </c>
      <c r="AV71" s="220"/>
      <c r="AW71" s="220"/>
      <c r="AX71" s="220"/>
    </row>
    <row r="72" spans="2:50" ht="14" customHeight="1" x14ac:dyDescent="0.15">
      <c r="B72" s="117" t="s">
        <v>116</v>
      </c>
      <c r="C72" s="229" t="s">
        <v>117</v>
      </c>
      <c r="D72" s="226"/>
      <c r="E72" s="185">
        <f>VLOOKUP(B72,'FLUJO DE CAJA PROYECTADO '!$B$13:$J$61,3,FALSE)</f>
        <v>0</v>
      </c>
      <c r="F72" s="186">
        <f>VLOOKUP(B72,'FLUJO DE CAJA PROYECTADO '!$B$13:$J$61,9,FALSE)</f>
        <v>0</v>
      </c>
      <c r="G72" s="187">
        <f>VLOOKUP(B72,'FLUJO DE CAJA PROYECTADO '!$B$13:$J$61,8,FALSE)</f>
        <v>0</v>
      </c>
      <c r="H72" s="199">
        <f t="shared" si="21"/>
        <v>0</v>
      </c>
      <c r="J72" s="185">
        <f>VLOOKUP($B72,ASEGURADO!$B$3:$J$51,3,FALSE)</f>
        <v>0</v>
      </c>
      <c r="K72" s="186">
        <f>VLOOKUP(B72,ASEGURADO!$B$3:$J$52,9,FALSE)</f>
        <v>0</v>
      </c>
      <c r="L72" s="187">
        <f>VLOOKUP($B72,ASEGURADO!$B$3:$J$52,8,FALSE)</f>
        <v>0</v>
      </c>
      <c r="M72" s="199">
        <f t="shared" si="198"/>
        <v>0</v>
      </c>
      <c r="P72" s="185">
        <f>VLOOKUP(B72,REAL!$B$13:$J$61,3,FALSE)</f>
        <v>0</v>
      </c>
      <c r="Q72" s="186">
        <f>VLOOKUP(B72,REAL!$B$13:$J$61,9,FALSE)</f>
        <v>0</v>
      </c>
      <c r="R72" s="187">
        <f>VLOOKUP(B72,REAL!$B$13:$J$61,8,FALSE)</f>
        <v>0</v>
      </c>
      <c r="S72" s="199">
        <f t="shared" si="7"/>
        <v>0</v>
      </c>
      <c r="U72" s="43">
        <f>VLOOKUP(B72,Contabilidad!$B$3:$D$51,3,FALSE)</f>
        <v>0</v>
      </c>
      <c r="V72" s="199">
        <f t="shared" si="199"/>
        <v>0</v>
      </c>
      <c r="X72" s="187">
        <f>VLOOKUP($B72,'FLUJO DE CAJA PROYECTADO '!$B$13:$AI$66,'Control Flujo de caja'!X$16,FALSE)*VLOOKUP($B72,'FLUJO DE CAJA PROYECTADO '!$B$13:$AI$66,9,FALSE)</f>
        <v>0</v>
      </c>
      <c r="Y72" s="187">
        <f>VLOOKUP($B72,REAL!$B$13:$AI$61,'Control Flujo de caja'!Y$16,FALSE)*VLOOKUP($B72,REAL!$B$13:$AI$61,9,FALSE)</f>
        <v>0</v>
      </c>
      <c r="Z72" s="199">
        <f t="shared" si="200"/>
        <v>0</v>
      </c>
      <c r="AA72" s="187">
        <f>VLOOKUP($B72,'FLUJO DE CAJA PROYECTADO '!$B$13:$AI$66,'Control Flujo de caja'!AA$16,FALSE)*VLOOKUP($B72,'FLUJO DE CAJA PROYECTADO '!$B$13:$AI$66,9,FALSE)</f>
        <v>0</v>
      </c>
      <c r="AB72" s="187">
        <f>VLOOKUP($B72,REAL!$B$13:$AI$61,'Control Flujo de caja'!AB$16,FALSE)*VLOOKUP($B72,REAL!$B$13:$AI$61,9,FALSE)</f>
        <v>0</v>
      </c>
      <c r="AC72" s="199">
        <f t="shared" si="201"/>
        <v>0</v>
      </c>
      <c r="AD72" s="187">
        <f>VLOOKUP($B72,'FLUJO DE CAJA PROYECTADO '!$B$13:$AI$66,'Control Flujo de caja'!AD$16,FALSE)*VLOOKUP($B72,'FLUJO DE CAJA PROYECTADO '!$B$13:$AI$66,9,FALSE)</f>
        <v>0</v>
      </c>
      <c r="AE72" s="187">
        <f>VLOOKUP($B72,REAL!$B$13:$AI$61,'Control Flujo de caja'!AE$16,FALSE)*VLOOKUP($B72,REAL!$B$13:$AI$61,9,FALSE)</f>
        <v>0</v>
      </c>
      <c r="AF72" s="199">
        <f t="shared" si="202"/>
        <v>0</v>
      </c>
      <c r="AG72" s="187">
        <f>VLOOKUP($B72,'FLUJO DE CAJA PROYECTADO '!$B$13:$AI$66,'Control Flujo de caja'!AG$16,FALSE)*VLOOKUP($B72,'FLUJO DE CAJA PROYECTADO '!$B$13:$AI$66,9,FALSE)</f>
        <v>0</v>
      </c>
      <c r="AH72" s="187">
        <f>VLOOKUP($B72,REAL!$B$13:$AI$61,'Control Flujo de caja'!AH$16,FALSE)*VLOOKUP($B72,REAL!$B$13:$AI$61,9,FALSE)</f>
        <v>0</v>
      </c>
      <c r="AI72" s="199">
        <f t="shared" si="203"/>
        <v>0</v>
      </c>
      <c r="AJ72" s="187">
        <f>VLOOKUP($B72,'FLUJO DE CAJA PROYECTADO '!$B$13:$AI$66,'Control Flujo de caja'!AJ$16,FALSE)*VLOOKUP($B72,'FLUJO DE CAJA PROYECTADO '!$B$13:$AI$66,9,FALSE)</f>
        <v>0</v>
      </c>
      <c r="AK72" s="187">
        <f>VLOOKUP($B72,REAL!$B$13:$AI$61,'Control Flujo de caja'!AK$16,FALSE)*VLOOKUP($B72,REAL!$B$13:$AI$61,9,FALSE)</f>
        <v>0</v>
      </c>
      <c r="AL72" s="199">
        <f t="shared" si="204"/>
        <v>0</v>
      </c>
      <c r="AM72" s="187">
        <f>VLOOKUP($B72,'FLUJO DE CAJA PROYECTADO '!$B$13:$AN$66,'Control Flujo de caja'!AM$16,FALSE)</f>
        <v>0</v>
      </c>
      <c r="AN72" s="187">
        <f>VLOOKUP($B72,REAL!$B$13:$AS$610,'Control Flujo de caja'!AN$16,FALSE)*REAL!$J58</f>
        <v>0</v>
      </c>
      <c r="AO72" s="199">
        <f t="shared" si="205"/>
        <v>0</v>
      </c>
      <c r="AP72" s="187">
        <f>VLOOKUP($B72,'FLUJO DE CAJA PROYECTADO '!$B$13:$AS$66,'Control Flujo de caja'!AP$16,FALSE)</f>
        <v>0</v>
      </c>
      <c r="AQ72" s="187">
        <f>VLOOKUP($B72,REAL!$B$13:$AS$610,'Control Flujo de caja'!AQ$16,FALSE)*REAL!$J58</f>
        <v>0</v>
      </c>
      <c r="AR72" s="199">
        <f t="shared" si="206"/>
        <v>0</v>
      </c>
      <c r="AV72" s="220"/>
      <c r="AW72" s="220"/>
      <c r="AX72" s="220"/>
    </row>
    <row r="73" spans="2:50" ht="14" customHeight="1" x14ac:dyDescent="0.15">
      <c r="B73" s="117" t="s">
        <v>118</v>
      </c>
      <c r="C73" s="229" t="s">
        <v>119</v>
      </c>
      <c r="D73" s="226"/>
      <c r="E73" s="185">
        <f>VLOOKUP(B73,'FLUJO DE CAJA PROYECTADO '!$B$13:$J$61,3,FALSE)</f>
        <v>15</v>
      </c>
      <c r="F73" s="186">
        <f>VLOOKUP(B73,'FLUJO DE CAJA PROYECTADO '!$B$13:$J$61,9,FALSE)</f>
        <v>195750.24</v>
      </c>
      <c r="G73" s="187">
        <f>VLOOKUP(B73,'FLUJO DE CAJA PROYECTADO '!$B$13:$J$61,8,FALSE)</f>
        <v>2936253.5999999996</v>
      </c>
      <c r="H73" s="199">
        <f t="shared" si="21"/>
        <v>-2936253.5999999996</v>
      </c>
      <c r="J73" s="185">
        <f>VLOOKUP($B73,ASEGURADO!$B$3:$J$51,3,FALSE)</f>
        <v>15</v>
      </c>
      <c r="K73" s="186">
        <f>VLOOKUP(B73,ASEGURADO!$B$3:$J$52,9,FALSE)</f>
        <v>195750.24</v>
      </c>
      <c r="L73" s="187">
        <f>VLOOKUP($B73,ASEGURADO!$B$3:$J$52,8,FALSE)</f>
        <v>2936253.5999999996</v>
      </c>
      <c r="M73" s="199">
        <f t="shared" si="198"/>
        <v>0</v>
      </c>
      <c r="P73" s="185">
        <f>VLOOKUP(B73,REAL!$B$13:$J$61,3,FALSE)</f>
        <v>15</v>
      </c>
      <c r="Q73" s="186">
        <f>VLOOKUP(B73,REAL!$B$13:$J$61,9,FALSE)</f>
        <v>195750.24</v>
      </c>
      <c r="R73" s="187">
        <f>VLOOKUP(B73,REAL!$B$13:$J$61,8,FALSE)</f>
        <v>195750.24</v>
      </c>
      <c r="S73" s="199">
        <f t="shared" si="7"/>
        <v>2740503.3599999994</v>
      </c>
      <c r="U73" s="43">
        <f>VLOOKUP(B73,Contabilidad!$B$3:$D$51,3,FALSE)</f>
        <v>0</v>
      </c>
      <c r="V73" s="199">
        <f t="shared" si="199"/>
        <v>195750.24</v>
      </c>
      <c r="X73" s="187">
        <f>VLOOKUP($B73,'FLUJO DE CAJA PROYECTADO '!$B$13:$AI$66,'Control Flujo de caja'!X$16,FALSE)*VLOOKUP($B73,'FLUJO DE CAJA PROYECTADO '!$B$13:$AI$66,9,FALSE)</f>
        <v>0</v>
      </c>
      <c r="Y73" s="187">
        <f>VLOOKUP($B73,REAL!$B$13:$AI$61,'Control Flujo de caja'!Y$16,FALSE)*VLOOKUP($B73,REAL!$B$13:$AI$61,9,FALSE)</f>
        <v>0</v>
      </c>
      <c r="Z73" s="199">
        <f t="shared" si="200"/>
        <v>0</v>
      </c>
      <c r="AA73" s="187">
        <f>VLOOKUP($B73,'FLUJO DE CAJA PROYECTADO '!$B$13:$AI$66,'Control Flujo de caja'!AA$16,FALSE)*VLOOKUP($B73,'FLUJO DE CAJA PROYECTADO '!$B$13:$AI$66,9,FALSE)</f>
        <v>0</v>
      </c>
      <c r="AB73" s="187">
        <f>VLOOKUP($B73,REAL!$B$13:$AI$61,'Control Flujo de caja'!AB$16,FALSE)*VLOOKUP($B73,REAL!$B$13:$AI$61,9,FALSE)</f>
        <v>0</v>
      </c>
      <c r="AC73" s="199">
        <f t="shared" si="201"/>
        <v>0</v>
      </c>
      <c r="AD73" s="187">
        <f>VLOOKUP($B73,'FLUJO DE CAJA PROYECTADO '!$B$13:$AI$66,'Control Flujo de caja'!AD$16,FALSE)*VLOOKUP($B73,'FLUJO DE CAJA PROYECTADO '!$B$13:$AI$66,9,FALSE)</f>
        <v>0</v>
      </c>
      <c r="AE73" s="187">
        <f>VLOOKUP($B73,REAL!$B$13:$AI$61,'Control Flujo de caja'!AE$16,FALSE)*VLOOKUP($B73,REAL!$B$13:$AI$61,9,FALSE)</f>
        <v>195750.24</v>
      </c>
      <c r="AF73" s="199">
        <f t="shared" si="202"/>
        <v>-195750.24</v>
      </c>
      <c r="AG73" s="187">
        <f>VLOOKUP($B73,'FLUJO DE CAJA PROYECTADO '!$B$13:$AI$66,'Control Flujo de caja'!AG$16,FALSE)*VLOOKUP($B73,'FLUJO DE CAJA PROYECTADO '!$B$13:$AI$66,9,FALSE)</f>
        <v>2936253.5999999996</v>
      </c>
      <c r="AH73" s="187">
        <f>VLOOKUP($B73,REAL!$B$13:$AI$61,'Control Flujo de caja'!AH$16,FALSE)*VLOOKUP($B73,REAL!$B$13:$AI$61,9,FALSE)</f>
        <v>0</v>
      </c>
      <c r="AI73" s="199">
        <f t="shared" si="203"/>
        <v>2936253.5999999996</v>
      </c>
      <c r="AJ73" s="187">
        <f>VLOOKUP($B73,'FLUJO DE CAJA PROYECTADO '!$B$13:$AI$66,'Control Flujo de caja'!AJ$16,FALSE)*VLOOKUP($B73,'FLUJO DE CAJA PROYECTADO '!$B$13:$AI$66,9,FALSE)</f>
        <v>0</v>
      </c>
      <c r="AK73" s="187">
        <f>VLOOKUP($B73,REAL!$B$13:$AI$61,'Control Flujo de caja'!AK$16,FALSE)*VLOOKUP($B73,REAL!$B$13:$AI$61,9,FALSE)</f>
        <v>0</v>
      </c>
      <c r="AL73" s="199">
        <f t="shared" si="204"/>
        <v>0</v>
      </c>
      <c r="AM73" s="187">
        <f>VLOOKUP($B73,'FLUJO DE CAJA PROYECTADO '!$B$13:$AN$66,'Control Flujo de caja'!AM$16,FALSE)</f>
        <v>0</v>
      </c>
      <c r="AN73" s="187">
        <f>VLOOKUP($B73,REAL!$B$13:$AS$610,'Control Flujo de caja'!AN$16,FALSE)*REAL!$J59</f>
        <v>0</v>
      </c>
      <c r="AO73" s="199">
        <f t="shared" si="205"/>
        <v>0</v>
      </c>
      <c r="AP73" s="187">
        <f>VLOOKUP($B73,'FLUJO DE CAJA PROYECTADO '!$B$13:$AS$66,'Control Flujo de caja'!AP$16,FALSE)</f>
        <v>0</v>
      </c>
      <c r="AQ73" s="187">
        <f>VLOOKUP($B73,REAL!$B$13:$AS$610,'Control Flujo de caja'!AQ$16,FALSE)*REAL!$J59</f>
        <v>2740503.36</v>
      </c>
      <c r="AR73" s="199">
        <f t="shared" si="206"/>
        <v>-2740503.36</v>
      </c>
      <c r="AV73" s="220"/>
      <c r="AW73" s="220"/>
      <c r="AX73" s="220"/>
    </row>
    <row r="74" spans="2:50" ht="14" customHeight="1" x14ac:dyDescent="0.15">
      <c r="B74" s="41">
        <v>6</v>
      </c>
      <c r="C74" s="56" t="s">
        <v>120</v>
      </c>
      <c r="D74" s="176">
        <f t="shared" ref="D74:R74" si="207">SUM(D75)</f>
        <v>2519593500</v>
      </c>
      <c r="E74" s="179">
        <f t="shared" si="207"/>
        <v>185262.6</v>
      </c>
      <c r="F74" s="122">
        <f t="shared" si="207"/>
        <v>4337.713874</v>
      </c>
      <c r="G74" s="180">
        <f t="shared" si="207"/>
        <v>2419644568.1344504</v>
      </c>
      <c r="H74" s="350">
        <f t="shared" si="21"/>
        <v>99948931.865549564</v>
      </c>
      <c r="J74" s="179" t="e">
        <f t="shared" si="207"/>
        <v>#N/A</v>
      </c>
      <c r="K74" s="179" t="e">
        <f t="shared" si="207"/>
        <v>#N/A</v>
      </c>
      <c r="L74" s="179" t="e">
        <f t="shared" si="207"/>
        <v>#N/A</v>
      </c>
      <c r="M74" s="202" t="e">
        <f t="shared" si="207"/>
        <v>#N/A</v>
      </c>
      <c r="P74" s="179" t="e">
        <f t="shared" si="207"/>
        <v>#N/A</v>
      </c>
      <c r="Q74" s="122">
        <f t="shared" si="207"/>
        <v>4337.713874</v>
      </c>
      <c r="R74" s="180">
        <f t="shared" si="207"/>
        <v>977133380.74106038</v>
      </c>
      <c r="S74" s="350">
        <f t="shared" si="7"/>
        <v>1442511187.3933902</v>
      </c>
      <c r="U74" s="43">
        <f>VLOOKUP(B74,Contabilidad!$B$3:$D$51,3,FALSE)</f>
        <v>0</v>
      </c>
      <c r="V74" s="202" t="e">
        <f t="shared" ref="V74" si="208">SUM(V75)</f>
        <v>#N/A</v>
      </c>
      <c r="X74" s="180">
        <f t="shared" ref="X74:AR74" si="209">SUM(X75)</f>
        <v>0</v>
      </c>
      <c r="Y74" s="180">
        <f t="shared" si="209"/>
        <v>0</v>
      </c>
      <c r="Z74" s="202">
        <f t="shared" si="209"/>
        <v>0</v>
      </c>
      <c r="AA74" s="180">
        <f t="shared" si="209"/>
        <v>140271256.17186239</v>
      </c>
      <c r="AB74" s="180">
        <f t="shared" si="209"/>
        <v>140271256.17186239</v>
      </c>
      <c r="AC74" s="202">
        <f t="shared" si="209"/>
        <v>0</v>
      </c>
      <c r="AD74" s="180">
        <f t="shared" si="209"/>
        <v>155151349.84523201</v>
      </c>
      <c r="AE74" s="180">
        <f t="shared" si="209"/>
        <v>155151349.84523201</v>
      </c>
      <c r="AF74" s="180">
        <f t="shared" si="209"/>
        <v>0</v>
      </c>
      <c r="AG74" s="180">
        <f t="shared" si="209"/>
        <v>241623675.92342201</v>
      </c>
      <c r="AH74" s="180">
        <f t="shared" si="209"/>
        <v>224068947.87534401</v>
      </c>
      <c r="AI74" s="180">
        <f t="shared" si="209"/>
        <v>17554728.048078001</v>
      </c>
      <c r="AJ74" s="180">
        <f t="shared" si="209"/>
        <v>266569868.41279599</v>
      </c>
      <c r="AK74" s="180">
        <f t="shared" si="209"/>
        <v>371056720.20970798</v>
      </c>
      <c r="AL74" s="180">
        <f t="shared" si="209"/>
        <v>-104486851.79691198</v>
      </c>
      <c r="AM74" s="180">
        <f t="shared" si="209"/>
        <v>773749364.32856596</v>
      </c>
      <c r="AN74" s="180">
        <f t="shared" si="209"/>
        <v>86585106.638914004</v>
      </c>
      <c r="AO74" s="202">
        <f t="shared" si="209"/>
        <v>687164257.68965197</v>
      </c>
      <c r="AP74" s="180">
        <f t="shared" si="209"/>
        <v>179678</v>
      </c>
      <c r="AQ74" s="180">
        <f t="shared" si="209"/>
        <v>0</v>
      </c>
      <c r="AR74" s="180">
        <f t="shared" si="209"/>
        <v>179678</v>
      </c>
      <c r="AV74" s="220"/>
      <c r="AW74" s="220"/>
      <c r="AX74" s="220"/>
    </row>
    <row r="75" spans="2:50" ht="14" customHeight="1" x14ac:dyDescent="0.15">
      <c r="B75" s="58" t="s">
        <v>121</v>
      </c>
      <c r="C75" s="45" t="s">
        <v>122</v>
      </c>
      <c r="D75" s="191">
        <f t="shared" ref="D75:Q75" si="210">D76</f>
        <v>2519593500</v>
      </c>
      <c r="E75" s="182">
        <f t="shared" si="210"/>
        <v>185262.6</v>
      </c>
      <c r="F75" s="183">
        <f t="shared" si="210"/>
        <v>4337.713874</v>
      </c>
      <c r="G75" s="184">
        <f t="shared" ref="G75" si="211">SUM(G76:G77)</f>
        <v>2419644568.1344504</v>
      </c>
      <c r="H75" s="350">
        <f t="shared" si="21"/>
        <v>99948931.865549564</v>
      </c>
      <c r="J75" s="182" t="e">
        <f t="shared" si="210"/>
        <v>#N/A</v>
      </c>
      <c r="K75" s="182" t="e">
        <f t="shared" si="210"/>
        <v>#N/A</v>
      </c>
      <c r="L75" s="182" t="e">
        <f t="shared" si="210"/>
        <v>#N/A</v>
      </c>
      <c r="M75" s="198" t="e">
        <f t="shared" si="210"/>
        <v>#N/A</v>
      </c>
      <c r="P75" s="182" t="e">
        <f t="shared" si="210"/>
        <v>#N/A</v>
      </c>
      <c r="Q75" s="183">
        <f t="shared" si="210"/>
        <v>4337.713874</v>
      </c>
      <c r="R75" s="184">
        <f t="shared" ref="R75" si="212">SUM(R76:R77)</f>
        <v>977133380.74106038</v>
      </c>
      <c r="S75" s="350">
        <f t="shared" si="7"/>
        <v>1442511187.3933902</v>
      </c>
      <c r="U75" s="43">
        <f>VLOOKUP(B75,Contabilidad!$B$3:$D$51,3,FALSE)</f>
        <v>0</v>
      </c>
      <c r="V75" s="198" t="e">
        <f t="shared" ref="V75" si="213">V76</f>
        <v>#N/A</v>
      </c>
      <c r="X75" s="184">
        <f>SUM(X76:X77)</f>
        <v>0</v>
      </c>
      <c r="Y75" s="184">
        <f t="shared" ref="Y75:AO75" si="214">SUM(Y76:Y77)</f>
        <v>0</v>
      </c>
      <c r="Z75" s="184">
        <f t="shared" si="214"/>
        <v>0</v>
      </c>
      <c r="AA75" s="184">
        <f t="shared" si="214"/>
        <v>140271256.17186239</v>
      </c>
      <c r="AB75" s="184">
        <f t="shared" si="214"/>
        <v>140271256.17186239</v>
      </c>
      <c r="AC75" s="184">
        <f t="shared" si="214"/>
        <v>0</v>
      </c>
      <c r="AD75" s="184">
        <f t="shared" si="214"/>
        <v>155151349.84523201</v>
      </c>
      <c r="AE75" s="184">
        <f t="shared" si="214"/>
        <v>155151349.84523201</v>
      </c>
      <c r="AF75" s="184">
        <f t="shared" si="214"/>
        <v>0</v>
      </c>
      <c r="AG75" s="184">
        <f t="shared" si="214"/>
        <v>241623675.92342201</v>
      </c>
      <c r="AH75" s="184">
        <f t="shared" si="214"/>
        <v>224068947.87534401</v>
      </c>
      <c r="AI75" s="184">
        <f t="shared" si="214"/>
        <v>17554728.048078001</v>
      </c>
      <c r="AJ75" s="184">
        <f t="shared" si="214"/>
        <v>266569868.41279599</v>
      </c>
      <c r="AK75" s="184">
        <f t="shared" si="214"/>
        <v>371056720.20970798</v>
      </c>
      <c r="AL75" s="184">
        <f t="shared" si="214"/>
        <v>-104486851.79691198</v>
      </c>
      <c r="AM75" s="184">
        <f t="shared" si="214"/>
        <v>773749364.32856596</v>
      </c>
      <c r="AN75" s="184">
        <f t="shared" si="214"/>
        <v>86585106.638914004</v>
      </c>
      <c r="AO75" s="184">
        <f t="shared" si="214"/>
        <v>687164257.68965197</v>
      </c>
      <c r="AP75" s="184">
        <f t="shared" ref="AP75:AR75" si="215">SUM(AP76:AP77)</f>
        <v>179678</v>
      </c>
      <c r="AQ75" s="184">
        <f t="shared" si="215"/>
        <v>0</v>
      </c>
      <c r="AR75" s="184">
        <f t="shared" si="215"/>
        <v>179678</v>
      </c>
      <c r="AV75" s="220"/>
      <c r="AW75" s="220"/>
      <c r="AX75" s="220"/>
    </row>
    <row r="76" spans="2:50" ht="14" customHeight="1" thickBot="1" x14ac:dyDescent="0.2">
      <c r="B76" s="59" t="s">
        <v>187</v>
      </c>
      <c r="C76" s="283" t="s">
        <v>188</v>
      </c>
      <c r="D76" s="226">
        <v>2519593500</v>
      </c>
      <c r="E76" s="196">
        <f>VLOOKUP(B76,'FLUJO DE CAJA PROYECTADO '!$B$13:$J$610,3,FALSE)</f>
        <v>185262.6</v>
      </c>
      <c r="F76" s="186">
        <f>VLOOKUP(B76,'FLUJO DE CAJA PROYECTADO '!$B$13:$J$610,9,FALSE)</f>
        <v>4337.713874</v>
      </c>
      <c r="G76" s="197">
        <f>VLOOKUP(B76,'FLUJO DE CAJA PROYECTADO '!$B$13:$J$610,8,FALSE)</f>
        <v>803616150.35331237</v>
      </c>
      <c r="H76" s="199">
        <f t="shared" si="21"/>
        <v>1715977349.6466875</v>
      </c>
      <c r="J76" s="185" t="e">
        <f>VLOOKUP($B76,ASEGURADO!$B$3:$J$510,3,FALSE)</f>
        <v>#N/A</v>
      </c>
      <c r="K76" s="186" t="e">
        <f>VLOOKUP(B76,ASEGURADO!$B$3:$J$52,9,FALSE)</f>
        <v>#N/A</v>
      </c>
      <c r="L76" s="187" t="e">
        <f>VLOOKUP($B76,ASEGURADO!$B$3:$J$52,8,FALSE)</f>
        <v>#N/A</v>
      </c>
      <c r="M76" s="199" t="e">
        <f>G76-L76</f>
        <v>#N/A</v>
      </c>
      <c r="P76" s="185" t="e">
        <f>VLOOKUP(B76,REAL!$B$13:$J$61,3,FALSE)</f>
        <v>#N/A</v>
      </c>
      <c r="Q76" s="186">
        <f>VLOOKUP(B76,REAL!$B$13:$J$610,9,FALSE)</f>
        <v>4337.713874</v>
      </c>
      <c r="R76" s="187">
        <f>VLOOKUP(B76,REAL!$B$13:$J$610,8,FALSE)</f>
        <v>977133380.74106038</v>
      </c>
      <c r="S76" s="199">
        <f t="shared" si="7"/>
        <v>-173517230.387748</v>
      </c>
      <c r="U76" s="43" t="e">
        <f>VLOOKUP(B76,Contabilidad!$B$3:$D$51,3,FALSE)</f>
        <v>#N/A</v>
      </c>
      <c r="V76" s="199" t="e">
        <f>R76-U76</f>
        <v>#N/A</v>
      </c>
      <c r="X76" s="187">
        <f>VLOOKUP($B76,'FLUJO DE CAJA PROYECTADO '!$B$13:$AI$66,'Control Flujo de caja'!X$16,FALSE)*REAL!$J$62</f>
        <v>0</v>
      </c>
      <c r="Y76" s="187">
        <f>VLOOKUP($B76,REAL!$B$13:$AI$610,'Control Flujo de caja'!Y$16,FALSE)*REAL!$J62</f>
        <v>0</v>
      </c>
      <c r="Z76" s="199">
        <f t="shared" ref="Z76" si="216">X76-Y76</f>
        <v>0</v>
      </c>
      <c r="AA76" s="187">
        <f>VLOOKUP($B76,'FLUJO DE CAJA PROYECTADO '!$B$13:$AI$66,'Control Flujo de caja'!AA$16,FALSE)*REAL!$J$62</f>
        <v>140271256.17186239</v>
      </c>
      <c r="AB76" s="187">
        <f>VLOOKUP($B76,REAL!$B$13:$AI$610,'Control Flujo de caja'!AB$16,FALSE)*REAL!$J62</f>
        <v>140271256.17186239</v>
      </c>
      <c r="AC76" s="199">
        <f t="shared" ref="AC76:AC77" si="217">AA76-AB76</f>
        <v>0</v>
      </c>
      <c r="AD76" s="187">
        <f>VLOOKUP($B76,'FLUJO DE CAJA PROYECTADO '!$B$13:$AI$66,'Control Flujo de caja'!AD$16,FALSE)*REAL!$J$62</f>
        <v>155151349.84523201</v>
      </c>
      <c r="AE76" s="187">
        <f>VLOOKUP($B76,REAL!$B$13:$AI$610,'Control Flujo de caja'!AE$16,FALSE)*REAL!$J62</f>
        <v>155151349.84523201</v>
      </c>
      <c r="AF76" s="199">
        <f t="shared" ref="AF76:AF77" si="218">AD76-AE76</f>
        <v>0</v>
      </c>
      <c r="AG76" s="187">
        <f>VLOOKUP($B76,'FLUJO DE CAJA PROYECTADO '!$B$13:$AI$66,'Control Flujo de caja'!AG$16,FALSE)*REAL!$J$62</f>
        <v>241623675.92342201</v>
      </c>
      <c r="AH76" s="187">
        <f>VLOOKUP($B76,REAL!$B$13:$AI$610,'Control Flujo de caja'!AH$16,FALSE)*REAL!$J62</f>
        <v>224068947.87534401</v>
      </c>
      <c r="AI76" s="199">
        <f t="shared" ref="AI76:AI77" si="219">AG76-AH76</f>
        <v>17554728.048078001</v>
      </c>
      <c r="AJ76" s="187">
        <f>VLOOKUP($B76,'FLUJO DE CAJA PROYECTADO '!$B$13:$AI$66,'Control Flujo de caja'!AJ$16,FALSE)*REAL!$J$62</f>
        <v>266569868.41279599</v>
      </c>
      <c r="AK76" s="187">
        <f>VLOOKUP($B76,REAL!$B$13:$AI$610,'Control Flujo de caja'!AK$16,FALSE)*REAL!$J62</f>
        <v>371056720.20970798</v>
      </c>
      <c r="AL76" s="199">
        <f t="shared" ref="AL76:AL77" si="220">AJ76-AK76</f>
        <v>-104486851.79691198</v>
      </c>
      <c r="AM76" s="187">
        <f>VLOOKUP($B76,'FLUJO DE CAJA PROYECTADO '!$B$13:$AN$660,'Control Flujo de caja'!AM$16,FALSE)*REAL!$J$62</f>
        <v>0</v>
      </c>
      <c r="AN76" s="187">
        <f>VLOOKUP($B76,REAL!$B$13:$AS$610,'Control Flujo de caja'!AN$16,FALSE)*REAL!$J62</f>
        <v>86585106.638914004</v>
      </c>
      <c r="AO76" s="199">
        <f t="shared" ref="AO76:AO77" si="221">AM76-AN76</f>
        <v>-86585106.638914004</v>
      </c>
      <c r="AP76" s="187">
        <f>VLOOKUP($B76,'FLUJO DE CAJA PROYECTADO '!$B$13:$AS$66,'Control Flujo de caja'!AP$16,FALSE)</f>
        <v>0</v>
      </c>
      <c r="AQ76" s="187">
        <f>VLOOKUP($B76,REAL!$B$13:$AS$610,'Control Flujo de caja'!AQ$16,FALSE)*REAL!$J62</f>
        <v>0</v>
      </c>
      <c r="AR76" s="199">
        <f t="shared" ref="AR76:AR77" si="222">AP76-AQ76</f>
        <v>0</v>
      </c>
      <c r="AV76" s="220"/>
      <c r="AW76" s="220"/>
      <c r="AX76" s="220"/>
    </row>
    <row r="77" spans="2:50" ht="14" customHeight="1" thickBot="1" x14ac:dyDescent="0.2">
      <c r="B77" s="59" t="s">
        <v>189</v>
      </c>
      <c r="C77" s="283" t="s">
        <v>190</v>
      </c>
      <c r="D77" s="284"/>
      <c r="E77" s="196">
        <f>VLOOKUP(B77,'FLUJO DE CAJA PROYECTADO '!$B$13:$J$547,3,FALSE)</f>
        <v>0</v>
      </c>
      <c r="F77" s="186">
        <f>VLOOKUP(B77,'FLUJO DE CAJA PROYECTADO '!$B$13:$J$610,9,FALSE)</f>
        <v>4687.713874</v>
      </c>
      <c r="G77" s="197">
        <f>VLOOKUP(B77,'FLUJO DE CAJA PROYECTADO '!$B$13:$J$610,8,FALSE)</f>
        <v>1616028417.7811379</v>
      </c>
      <c r="H77" s="199">
        <f t="shared" si="21"/>
        <v>-1616028417.7811379</v>
      </c>
      <c r="P77" s="293">
        <f>VLOOKUP(B77,REAL!$B$13:$J$530,3,FALSE)</f>
        <v>0</v>
      </c>
      <c r="Q77" s="294">
        <f>VLOOKUP(B77,REAL!$B$13:$J$530,9,FALSE)</f>
        <v>4687.713874</v>
      </c>
      <c r="R77" s="187">
        <f>VLOOKUP(B77,REAL!$B$13:$J$610,8,FALSE)</f>
        <v>0</v>
      </c>
      <c r="S77" s="199">
        <f t="shared" si="7"/>
        <v>1616028417.7811379</v>
      </c>
      <c r="T77" s="215"/>
      <c r="U77" s="215"/>
      <c r="V77" s="157"/>
      <c r="X77" s="187">
        <f>VLOOKUP($B77,'FLUJO DE CAJA PROYECTADO '!$B$13:$AI$66,'Control Flujo de caja'!X$16,FALSE)*REAL!$J$63</f>
        <v>0</v>
      </c>
      <c r="Y77" s="187">
        <f>VLOOKUP($B77,REAL!$B$13:$AI$610,'Control Flujo de caja'!Y$16,FALSE)*REAL!$J63</f>
        <v>0</v>
      </c>
      <c r="Z77" s="199">
        <f t="shared" ref="Z77" si="223">X77-Y77</f>
        <v>0</v>
      </c>
      <c r="AA77" s="187">
        <f>VLOOKUP($B77,'FLUJO DE CAJA PROYECTADO '!$B$13:$AI$66,'Control Flujo de caja'!AA$16,FALSE)*REAL!$J$63</f>
        <v>0</v>
      </c>
      <c r="AB77" s="187">
        <f>VLOOKUP($B77,REAL!$B$13:$AI$610,'Control Flujo de caja'!AB$16,FALSE)*REAL!$J63</f>
        <v>0</v>
      </c>
      <c r="AC77" s="199">
        <f t="shared" si="217"/>
        <v>0</v>
      </c>
      <c r="AD77" s="187">
        <f>VLOOKUP($B77,'FLUJO DE CAJA PROYECTADO '!$B$13:$AI$66,'Control Flujo de caja'!AD$16,FALSE)*REAL!$J$63</f>
        <v>0</v>
      </c>
      <c r="AE77" s="187">
        <f>VLOOKUP($B77,REAL!$B$13:$AI$610,'Control Flujo de caja'!AE$16,FALSE)*REAL!$J63</f>
        <v>0</v>
      </c>
      <c r="AF77" s="199">
        <f t="shared" si="218"/>
        <v>0</v>
      </c>
      <c r="AG77" s="187">
        <f>VLOOKUP($B77,'FLUJO DE CAJA PROYECTADO '!$B$13:$AI$66,'Control Flujo de caja'!AG$16,FALSE)*REAL!$J$63</f>
        <v>0</v>
      </c>
      <c r="AH77" s="187">
        <f>VLOOKUP($B77,REAL!$B$13:$AI$610,'Control Flujo de caja'!AH$16,FALSE)*REAL!$J63</f>
        <v>0</v>
      </c>
      <c r="AI77" s="199">
        <f t="shared" si="219"/>
        <v>0</v>
      </c>
      <c r="AJ77" s="187">
        <f>VLOOKUP($B77,'FLUJO DE CAJA PROYECTADO '!$B$13:$AI$66,'Control Flujo de caja'!AJ$16,FALSE)*REAL!$J$63</f>
        <v>0</v>
      </c>
      <c r="AK77" s="187">
        <f>VLOOKUP($B77,REAL!$B$13:$AI$610,'Control Flujo de caja'!AK$16,FALSE)*REAL!$J63</f>
        <v>0</v>
      </c>
      <c r="AL77" s="199">
        <f t="shared" si="220"/>
        <v>0</v>
      </c>
      <c r="AM77" s="187">
        <f>VLOOKUP($B77,'FLUJO DE CAJA PROYECTADO '!$B$13:$AN$66,'Control Flujo de caja'!AM$16,FALSE)*REAL!$J$63</f>
        <v>773749364.32856596</v>
      </c>
      <c r="AN77" s="187">
        <f>VLOOKUP($B77,REAL!$B$13:$AS$610,'Control Flujo de caja'!AN$16,FALSE)*REAL!$J63</f>
        <v>0</v>
      </c>
      <c r="AO77" s="199">
        <f t="shared" si="221"/>
        <v>773749364.32856596</v>
      </c>
      <c r="AP77" s="187">
        <f>VLOOKUP($B77,'FLUJO DE CAJA PROYECTADO '!$B$13:$AS$66,'Control Flujo de caja'!AP$16,FALSE)</f>
        <v>179678</v>
      </c>
      <c r="AQ77" s="187">
        <f>VLOOKUP($B77,REAL!$B$13:$AS$610,'Control Flujo de caja'!AQ$16,FALSE)*REAL!$J63</f>
        <v>0</v>
      </c>
      <c r="AR77" s="199">
        <f t="shared" si="222"/>
        <v>179678</v>
      </c>
      <c r="AV77" s="220"/>
      <c r="AW77" s="220"/>
      <c r="AX77" s="220"/>
    </row>
    <row r="78" spans="2:50" ht="14" customHeight="1" x14ac:dyDescent="0.15">
      <c r="B78" s="153"/>
      <c r="C78" s="231"/>
      <c r="D78" s="154"/>
      <c r="E78" s="168"/>
      <c r="F78" s="155"/>
      <c r="G78" s="155"/>
      <c r="H78" s="156"/>
      <c r="Q78" s="215"/>
      <c r="R78" s="215"/>
      <c r="S78" s="215"/>
      <c r="T78" s="215"/>
      <c r="U78" s="215"/>
      <c r="V78" s="157"/>
      <c r="AA78" s="220"/>
      <c r="AB78" s="220"/>
      <c r="AC78" s="233"/>
      <c r="AD78" s="220"/>
      <c r="AE78" s="220"/>
      <c r="AF78" s="220"/>
      <c r="AG78" s="220"/>
      <c r="AH78" s="220"/>
      <c r="AI78" s="220"/>
      <c r="AJ78" s="220"/>
      <c r="AK78" s="220"/>
      <c r="AL78" s="220"/>
      <c r="AM78" s="220"/>
      <c r="AN78" s="220"/>
      <c r="AO78" s="220"/>
      <c r="AP78" s="220"/>
      <c r="AV78" s="220"/>
      <c r="AW78" s="220"/>
      <c r="AX78" s="220"/>
    </row>
    <row r="79" spans="2:50" ht="14" customHeight="1" x14ac:dyDescent="0.2">
      <c r="B79" s="153"/>
      <c r="C79" s="231"/>
      <c r="D79" s="154"/>
      <c r="E79" s="168"/>
      <c r="F79" s="155"/>
      <c r="G79" s="155"/>
      <c r="H79" s="349"/>
      <c r="L79" s="137" t="e">
        <f>L74+L64+L61+L55+L28</f>
        <v>#N/A</v>
      </c>
      <c r="Q79" s="215"/>
      <c r="R79" s="221"/>
      <c r="S79" s="215"/>
      <c r="T79" s="215"/>
      <c r="U79" s="215"/>
      <c r="V79" s="157"/>
      <c r="AA79" s="220"/>
      <c r="AB79" s="220"/>
      <c r="AC79" s="220"/>
      <c r="AD79" s="220"/>
      <c r="AE79" s="220"/>
      <c r="AF79" s="220"/>
      <c r="AG79" s="220"/>
      <c r="AH79" s="220"/>
      <c r="AI79" s="220"/>
      <c r="AJ79" s="220"/>
      <c r="AK79" s="220"/>
      <c r="AL79" s="220"/>
      <c r="AM79" s="220"/>
      <c r="AN79" s="220"/>
      <c r="AO79" s="220"/>
      <c r="AP79" s="220"/>
      <c r="AV79" s="220"/>
      <c r="AW79" s="220"/>
      <c r="AX79" s="220"/>
    </row>
    <row r="80" spans="2:50" ht="14" customHeight="1" x14ac:dyDescent="0.15">
      <c r="B80" s="60"/>
      <c r="C80" s="61" t="s">
        <v>191</v>
      </c>
      <c r="D80" s="232">
        <f>D74+D64+D61+D55+D28</f>
        <v>2670127484</v>
      </c>
      <c r="F80" s="155"/>
      <c r="G80" s="232">
        <f t="shared" ref="G80:H80" si="224">G74+G64+G61+G55+G28</f>
        <v>2791884020.2744503</v>
      </c>
      <c r="H80" s="232">
        <f t="shared" si="224"/>
        <v>-121756536.27445042</v>
      </c>
      <c r="Q80" s="215"/>
      <c r="R80" s="232">
        <f t="shared" ref="R80:S80" si="225">R74+R64+R61+R55+R28</f>
        <v>1137042347.4610605</v>
      </c>
      <c r="S80" s="232">
        <f t="shared" si="225"/>
        <v>1654841672.8133903</v>
      </c>
      <c r="T80" s="215"/>
      <c r="U80" s="215"/>
      <c r="V80" s="157"/>
      <c r="X80" s="266">
        <f t="shared" ref="X80:AL80" si="226">X74+X64+X61+X55+X28</f>
        <v>67561312</v>
      </c>
      <c r="Y80" s="232">
        <f t="shared" si="226"/>
        <v>66899755</v>
      </c>
      <c r="Z80" s="232">
        <f t="shared" si="226"/>
        <v>661557</v>
      </c>
      <c r="AA80" s="266">
        <f t="shared" si="226"/>
        <v>246041612.97186238</v>
      </c>
      <c r="AB80" s="232">
        <f t="shared" si="226"/>
        <v>152131236.17186239</v>
      </c>
      <c r="AC80" s="232">
        <f t="shared" si="226"/>
        <v>93910376.799999982</v>
      </c>
      <c r="AD80" s="266">
        <f t="shared" si="226"/>
        <v>167751731.84523201</v>
      </c>
      <c r="AE80" s="232">
        <f>AE74+AE64+AE61+AE55+AE28</f>
        <v>213030787.485232</v>
      </c>
      <c r="AF80" s="232">
        <f t="shared" si="226"/>
        <v>-45279055.639999993</v>
      </c>
      <c r="AG80" s="232">
        <f t="shared" si="226"/>
        <v>399326746.76342201</v>
      </c>
      <c r="AH80" s="232">
        <f t="shared" si="226"/>
        <v>232200135.87534401</v>
      </c>
      <c r="AI80" s="232">
        <f t="shared" si="226"/>
        <v>167126610.888078</v>
      </c>
      <c r="AJ80" s="232">
        <f t="shared" si="226"/>
        <v>286184703.91279602</v>
      </c>
      <c r="AK80" s="232">
        <f t="shared" si="226"/>
        <v>373356720.20970798</v>
      </c>
      <c r="AL80" s="232">
        <f t="shared" si="226"/>
        <v>-87172016.296911985</v>
      </c>
      <c r="AM80" s="232">
        <f>IFERROR(AM74+AM64+AM61+AM55+AM28,0)</f>
        <v>782738859.32856596</v>
      </c>
      <c r="AN80" s="232">
        <f>IFERROR(AN74+AN64+AN61+AN55+AN28,0)</f>
        <v>112057617.718914</v>
      </c>
      <c r="AO80" s="232">
        <f>IFERROR(AO74+AO64+AO61+AO55+AO28,0)</f>
        <v>670681241.60965192</v>
      </c>
      <c r="AP80" s="220"/>
      <c r="AV80" s="220"/>
      <c r="AW80" s="220"/>
      <c r="AX80" s="220"/>
    </row>
    <row r="81" spans="2:51" ht="14" customHeight="1" thickBot="1" x14ac:dyDescent="0.2">
      <c r="B81" s="60"/>
      <c r="C81" s="61" t="s">
        <v>192</v>
      </c>
      <c r="D81" s="174">
        <f>D21-D80</f>
        <v>257197666</v>
      </c>
      <c r="F81" s="155"/>
      <c r="G81" s="155"/>
      <c r="H81" s="156"/>
      <c r="Q81" s="215"/>
      <c r="R81" s="215"/>
      <c r="S81" s="215"/>
      <c r="T81" s="215"/>
      <c r="U81" s="215"/>
      <c r="V81" s="157"/>
      <c r="W81" s="157"/>
      <c r="X81" s="157"/>
      <c r="Y81" s="157"/>
      <c r="Z81" s="157"/>
      <c r="AA81" s="157"/>
      <c r="AB81" s="157"/>
      <c r="AC81" s="157"/>
      <c r="AD81" s="157"/>
      <c r="AE81" s="157"/>
      <c r="AF81" s="157"/>
      <c r="AG81" s="157"/>
      <c r="AH81" s="157"/>
      <c r="AI81" s="157"/>
      <c r="AJ81" s="157"/>
      <c r="AK81" s="157"/>
      <c r="AL81" s="157"/>
      <c r="AM81" s="157"/>
      <c r="AN81" s="157"/>
      <c r="AO81" s="157"/>
      <c r="AP81" s="157"/>
      <c r="AV81" s="220"/>
      <c r="AW81" s="220"/>
      <c r="AX81" s="220"/>
    </row>
    <row r="82" spans="2:51" ht="14" customHeight="1" x14ac:dyDescent="0.15">
      <c r="B82" s="60"/>
      <c r="C82" s="61" t="s">
        <v>193</v>
      </c>
      <c r="D82" s="84">
        <v>2927325150</v>
      </c>
      <c r="F82" s="155"/>
      <c r="G82" s="155"/>
      <c r="H82" s="156"/>
      <c r="I82" s="156"/>
      <c r="J82" s="156"/>
      <c r="K82" s="156"/>
      <c r="L82" s="156"/>
      <c r="M82" s="156"/>
      <c r="N82" s="156"/>
      <c r="O82" s="156"/>
      <c r="Q82" s="215"/>
      <c r="R82" s="215"/>
      <c r="S82" s="215"/>
      <c r="T82" s="215"/>
      <c r="U82" s="215"/>
      <c r="V82" s="157"/>
      <c r="W82" s="157"/>
      <c r="X82" s="157"/>
      <c r="Y82" s="157"/>
      <c r="Z82" s="157"/>
      <c r="AA82" s="157"/>
      <c r="AB82" s="157"/>
      <c r="AC82" s="157"/>
      <c r="AD82" s="157"/>
      <c r="AE82" s="157"/>
      <c r="AF82" s="157"/>
      <c r="AG82" s="157"/>
      <c r="AH82" s="157"/>
      <c r="AI82" s="157"/>
      <c r="AJ82" s="157"/>
      <c r="AK82" s="157"/>
      <c r="AL82" s="157"/>
      <c r="AM82" s="157"/>
      <c r="AN82" s="157"/>
      <c r="AO82" s="157"/>
      <c r="AP82" s="157"/>
      <c r="AV82" s="220"/>
      <c r="AW82" s="220"/>
      <c r="AX82" s="220"/>
    </row>
    <row r="83" spans="2:51" ht="14" customHeight="1" x14ac:dyDescent="0.15">
      <c r="B83" s="60"/>
      <c r="C83" s="61" t="s">
        <v>194</v>
      </c>
      <c r="D83" s="215"/>
      <c r="F83" s="155"/>
      <c r="G83" s="155"/>
      <c r="H83" s="156"/>
      <c r="I83" s="156"/>
      <c r="J83" s="156"/>
      <c r="K83" s="156"/>
      <c r="L83" s="156"/>
      <c r="M83" s="156"/>
      <c r="N83" s="156"/>
      <c r="O83" s="156"/>
      <c r="Q83" s="215"/>
      <c r="R83" s="215"/>
      <c r="S83" s="215"/>
      <c r="T83" s="215"/>
      <c r="U83" s="215"/>
      <c r="V83" s="157"/>
      <c r="W83" s="219"/>
      <c r="X83" s="219"/>
      <c r="Y83" s="219"/>
      <c r="Z83" s="219"/>
      <c r="AA83" s="219"/>
      <c r="AB83" s="219"/>
      <c r="AC83" s="219"/>
      <c r="AD83" s="219"/>
      <c r="AE83" s="219"/>
      <c r="AF83" s="219"/>
      <c r="AG83" s="219"/>
      <c r="AH83" s="219"/>
      <c r="AI83" s="219"/>
      <c r="AJ83" s="219"/>
      <c r="AK83" s="219"/>
      <c r="AL83" s="219"/>
      <c r="AM83" s="219"/>
      <c r="AN83" s="219"/>
      <c r="AO83" s="219"/>
      <c r="AP83" s="219"/>
      <c r="AV83" s="220"/>
      <c r="AW83" s="220"/>
      <c r="AX83" s="220"/>
    </row>
    <row r="84" spans="2:51" ht="14" customHeight="1" x14ac:dyDescent="0.15">
      <c r="B84" s="60"/>
      <c r="C84" s="61" t="s">
        <v>195</v>
      </c>
      <c r="D84" s="215"/>
      <c r="F84" s="155"/>
      <c r="G84" s="155"/>
      <c r="H84" s="156"/>
      <c r="I84" s="156"/>
      <c r="J84" s="156"/>
      <c r="K84" s="156"/>
      <c r="L84" s="156"/>
      <c r="M84" s="156"/>
      <c r="N84" s="156"/>
      <c r="O84" s="156"/>
      <c r="Q84" s="215"/>
      <c r="R84" s="215"/>
      <c r="S84" s="215"/>
      <c r="T84" s="215"/>
      <c r="U84" s="215"/>
      <c r="V84" s="157"/>
      <c r="W84" s="219"/>
      <c r="X84" s="215"/>
      <c r="Y84" s="215"/>
      <c r="Z84" s="215"/>
      <c r="AA84" s="215"/>
      <c r="AN84" s="215"/>
      <c r="AO84" s="215"/>
      <c r="AV84" s="220"/>
      <c r="AW84" s="220"/>
      <c r="AX84" s="220"/>
    </row>
    <row r="85" spans="2:51" ht="14" customHeight="1" thickBot="1" x14ac:dyDescent="0.2">
      <c r="B85" s="215"/>
      <c r="C85" s="215"/>
      <c r="D85" s="215"/>
      <c r="F85" s="155"/>
      <c r="G85" s="155"/>
      <c r="H85" s="156"/>
      <c r="I85" s="156"/>
      <c r="J85" s="156"/>
      <c r="K85" s="156"/>
      <c r="L85" s="156"/>
      <c r="M85" s="156"/>
      <c r="N85" s="156"/>
      <c r="O85" s="156"/>
      <c r="Q85" s="215"/>
      <c r="R85" s="215"/>
      <c r="S85" s="219"/>
      <c r="T85" s="219"/>
      <c r="U85" s="219"/>
      <c r="V85" s="219"/>
      <c r="W85" s="219"/>
      <c r="X85" s="215"/>
      <c r="Y85" s="215"/>
      <c r="Z85" s="215"/>
      <c r="AA85" s="215"/>
      <c r="AN85" s="215"/>
      <c r="AO85" s="215"/>
      <c r="AV85" s="220"/>
      <c r="AW85" s="220"/>
      <c r="AX85" s="220"/>
    </row>
    <row r="86" spans="2:51" ht="14" customHeight="1" x14ac:dyDescent="0.15">
      <c r="B86" s="215"/>
      <c r="C86" s="61" t="s">
        <v>196</v>
      </c>
      <c r="D86" s="61" t="s">
        <v>197</v>
      </c>
      <c r="E86" s="169" t="s">
        <v>198</v>
      </c>
      <c r="F86" s="155"/>
      <c r="G86" s="155"/>
      <c r="H86" s="156"/>
      <c r="I86" s="156"/>
      <c r="J86" s="156"/>
      <c r="K86" s="156"/>
      <c r="L86" s="156"/>
      <c r="M86" s="156"/>
      <c r="N86" s="156"/>
      <c r="O86" s="156"/>
      <c r="Q86" s="215"/>
      <c r="R86" s="215"/>
      <c r="S86" s="219"/>
      <c r="T86" s="219"/>
      <c r="U86" s="219"/>
      <c r="V86" s="219"/>
      <c r="W86" s="219"/>
      <c r="X86" s="461" t="s">
        <v>168</v>
      </c>
      <c r="Y86" s="462"/>
      <c r="Z86" s="463"/>
      <c r="AA86" s="459" t="s">
        <v>169</v>
      </c>
      <c r="AB86" s="459"/>
      <c r="AC86" s="460"/>
      <c r="AD86" s="464" t="s">
        <v>170</v>
      </c>
      <c r="AE86" s="465"/>
      <c r="AF86" s="466"/>
      <c r="AG86" s="458" t="s">
        <v>171</v>
      </c>
      <c r="AH86" s="459"/>
      <c r="AI86" s="460"/>
      <c r="AJ86" s="464" t="s">
        <v>172</v>
      </c>
      <c r="AK86" s="465"/>
      <c r="AL86" s="466"/>
      <c r="AM86" s="458" t="s">
        <v>173</v>
      </c>
      <c r="AN86" s="459"/>
      <c r="AO86" s="460"/>
      <c r="AV86" s="220"/>
    </row>
    <row r="87" spans="2:51" ht="14" customHeight="1" thickBot="1" x14ac:dyDescent="0.2">
      <c r="C87" s="215"/>
      <c r="D87" s="62"/>
      <c r="E87" s="170"/>
      <c r="F87" s="215"/>
      <c r="G87" s="215"/>
      <c r="H87" s="219"/>
      <c r="I87" s="219"/>
      <c r="J87" s="219"/>
      <c r="K87" s="219"/>
      <c r="L87" s="219"/>
      <c r="M87" s="219"/>
      <c r="N87" s="219"/>
      <c r="O87" s="219"/>
      <c r="Q87" s="215"/>
      <c r="R87" s="215"/>
      <c r="S87" s="219"/>
      <c r="T87" s="219"/>
      <c r="U87" s="219"/>
      <c r="V87" s="219"/>
      <c r="W87" s="258" t="s">
        <v>199</v>
      </c>
      <c r="X87" s="260" t="s">
        <v>158</v>
      </c>
      <c r="Y87" s="152" t="str">
        <f>"Real"&amp;Z86</f>
        <v>Real</v>
      </c>
      <c r="Z87" s="261" t="s">
        <v>174</v>
      </c>
      <c r="AA87" s="259" t="s">
        <v>158</v>
      </c>
      <c r="AB87" s="152" t="str">
        <f>"Real"&amp;AC86</f>
        <v>Real</v>
      </c>
      <c r="AC87" s="237" t="s">
        <v>174</v>
      </c>
      <c r="AD87" s="152" t="s">
        <v>158</v>
      </c>
      <c r="AE87" s="152" t="str">
        <f>"Real"&amp;AF86</f>
        <v>Real</v>
      </c>
      <c r="AF87" s="237" t="s">
        <v>174</v>
      </c>
      <c r="AG87" s="152" t="s">
        <v>158</v>
      </c>
      <c r="AH87" s="152" t="str">
        <f>"Real"&amp;AI86</f>
        <v>Real</v>
      </c>
      <c r="AI87" s="237" t="s">
        <v>174</v>
      </c>
      <c r="AJ87" s="152" t="s">
        <v>158</v>
      </c>
      <c r="AK87" s="152" t="str">
        <f>"Real"&amp;AL86</f>
        <v>Real</v>
      </c>
      <c r="AL87" s="237" t="s">
        <v>174</v>
      </c>
      <c r="AM87" s="152" t="s">
        <v>158</v>
      </c>
      <c r="AN87" s="152" t="str">
        <f>"Real"&amp;AO86</f>
        <v>Real</v>
      </c>
      <c r="AO87" s="237" t="s">
        <v>174</v>
      </c>
      <c r="AV87" s="220"/>
    </row>
    <row r="88" spans="2:51" ht="14" customHeight="1" x14ac:dyDescent="0.15">
      <c r="C88" s="215"/>
      <c r="D88" s="63"/>
      <c r="E88" s="171"/>
      <c r="F88" s="215"/>
      <c r="G88" s="215"/>
      <c r="S88" s="215"/>
      <c r="T88" s="215"/>
      <c r="U88" s="215"/>
      <c r="V88" s="255">
        <f>AB88+AE88+AH88+AK88+AN88</f>
        <v>1102160154.2179201</v>
      </c>
      <c r="W88" s="258" t="s">
        <v>200</v>
      </c>
      <c r="X88" s="334">
        <f>X24</f>
        <v>870811200</v>
      </c>
      <c r="Y88" s="334">
        <f t="shared" ref="Y88:AN88" si="227">Y24</f>
        <v>870811200</v>
      </c>
      <c r="Z88" s="344">
        <f>Y88-X88</f>
        <v>0</v>
      </c>
      <c r="AA88" s="334">
        <f t="shared" si="227"/>
        <v>0</v>
      </c>
      <c r="AB88" s="334">
        <f t="shared" si="227"/>
        <v>0</v>
      </c>
      <c r="AC88" s="344">
        <f>AB88-AA88</f>
        <v>0</v>
      </c>
      <c r="AD88" s="334">
        <f t="shared" si="227"/>
        <v>301648696.86000001</v>
      </c>
      <c r="AE88" s="334">
        <f t="shared" si="227"/>
        <v>301648696.86000001</v>
      </c>
      <c r="AF88" s="344">
        <f>AE88-AD88</f>
        <v>0</v>
      </c>
      <c r="AG88" s="334">
        <f t="shared" si="227"/>
        <v>273271799.00999999</v>
      </c>
      <c r="AH88" s="334">
        <f t="shared" si="227"/>
        <v>304405447.30092001</v>
      </c>
      <c r="AI88" s="344">
        <f>AH88-AG88</f>
        <v>31133648.290920019</v>
      </c>
      <c r="AJ88" s="334">
        <f t="shared" si="227"/>
        <v>994140000</v>
      </c>
      <c r="AK88" s="334">
        <f t="shared" si="227"/>
        <v>323490168.05700004</v>
      </c>
      <c r="AL88" s="344">
        <f>AK88-AJ88</f>
        <v>-670649831.94299996</v>
      </c>
      <c r="AM88" s="334">
        <f t="shared" si="227"/>
        <v>552300000</v>
      </c>
      <c r="AN88" s="334">
        <f t="shared" si="227"/>
        <v>172615842</v>
      </c>
      <c r="AO88" s="344">
        <f>AN88-AM88</f>
        <v>-379684158</v>
      </c>
      <c r="AV88" s="220"/>
      <c r="AW88" s="219"/>
      <c r="AX88" s="219"/>
      <c r="AY88" s="219"/>
    </row>
    <row r="89" spans="2:51" ht="14" customHeight="1" x14ac:dyDescent="0.15">
      <c r="C89" s="215"/>
      <c r="D89" s="64"/>
      <c r="E89" s="172"/>
      <c r="F89" s="215"/>
      <c r="G89" s="215"/>
      <c r="S89" s="215"/>
      <c r="T89" s="215"/>
      <c r="U89" s="215"/>
      <c r="V89" s="255">
        <f>Y89+AB89+AE89+AH89+AK89+AN89</f>
        <v>0</v>
      </c>
      <c r="W89" s="258" t="s">
        <v>201</v>
      </c>
      <c r="X89" s="263"/>
      <c r="Y89" s="257"/>
      <c r="Z89" s="344">
        <f t="shared" ref="Z89:Z92" si="228">Y89-X89</f>
        <v>0</v>
      </c>
      <c r="AA89" s="263"/>
      <c r="AB89" s="257"/>
      <c r="AC89" s="344">
        <f t="shared" ref="AC89:AC92" si="229">AB89-AA89</f>
        <v>0</v>
      </c>
      <c r="AD89" s="263"/>
      <c r="AE89" s="257"/>
      <c r="AF89" s="344">
        <f t="shared" ref="AF89:AF92" si="230">AE89-AD89</f>
        <v>0</v>
      </c>
      <c r="AG89" s="263"/>
      <c r="AH89" s="257"/>
      <c r="AI89" s="344">
        <f t="shared" ref="AI89:AI92" si="231">AH89-AG89</f>
        <v>0</v>
      </c>
      <c r="AJ89" s="263"/>
      <c r="AK89" s="257"/>
      <c r="AL89" s="344">
        <f t="shared" ref="AL89:AL92" si="232">AK89-AJ89</f>
        <v>0</v>
      </c>
      <c r="AM89" s="263"/>
      <c r="AN89" s="257"/>
      <c r="AO89" s="344">
        <f t="shared" ref="AO89:AO92" si="233">AN89-AM89</f>
        <v>0</v>
      </c>
      <c r="AV89" s="220"/>
      <c r="AW89" s="219"/>
      <c r="AX89" s="219"/>
      <c r="AY89" s="219"/>
    </row>
    <row r="90" spans="2:51" ht="14" customHeight="1" x14ac:dyDescent="0.15">
      <c r="C90" s="215"/>
      <c r="D90" s="64"/>
      <c r="E90" s="172"/>
      <c r="F90" s="215"/>
      <c r="G90" s="215"/>
      <c r="S90" s="215"/>
      <c r="T90" s="215"/>
      <c r="U90" s="215"/>
      <c r="V90" s="255">
        <f>Y90+AB90+AE90+AH90+AK90+AN90</f>
        <v>1149676252.4610603</v>
      </c>
      <c r="W90" s="258" t="s">
        <v>202</v>
      </c>
      <c r="X90" s="262">
        <f>X80</f>
        <v>67561312</v>
      </c>
      <c r="Y90" s="256">
        <f>Y80</f>
        <v>66899755</v>
      </c>
      <c r="Z90" s="344">
        <f t="shared" si="228"/>
        <v>-661557</v>
      </c>
      <c r="AA90" s="262">
        <f t="shared" ref="AA90:AN90" si="234">AA80</f>
        <v>246041612.97186238</v>
      </c>
      <c r="AB90" s="256">
        <f t="shared" si="234"/>
        <v>152131236.17186239</v>
      </c>
      <c r="AC90" s="344">
        <f t="shared" si="229"/>
        <v>-93910376.799999982</v>
      </c>
      <c r="AD90" s="262">
        <f t="shared" si="234"/>
        <v>167751731.84523201</v>
      </c>
      <c r="AE90" s="256">
        <f t="shared" si="234"/>
        <v>213030787.485232</v>
      </c>
      <c r="AF90" s="344">
        <f t="shared" si="230"/>
        <v>45279055.639999986</v>
      </c>
      <c r="AG90" s="262">
        <f t="shared" si="234"/>
        <v>399326746.76342201</v>
      </c>
      <c r="AH90" s="256">
        <f t="shared" si="234"/>
        <v>232200135.87534401</v>
      </c>
      <c r="AI90" s="344">
        <f t="shared" si="231"/>
        <v>-167126610.888078</v>
      </c>
      <c r="AJ90" s="262">
        <f t="shared" si="234"/>
        <v>286184703.91279602</v>
      </c>
      <c r="AK90" s="256">
        <f t="shared" si="234"/>
        <v>373356720.20970798</v>
      </c>
      <c r="AL90" s="344">
        <f t="shared" si="232"/>
        <v>87172016.296911955</v>
      </c>
      <c r="AM90" s="262">
        <f t="shared" si="234"/>
        <v>782738859.32856596</v>
      </c>
      <c r="AN90" s="256">
        <f t="shared" si="234"/>
        <v>112057617.718914</v>
      </c>
      <c r="AO90" s="344">
        <f t="shared" si="233"/>
        <v>-670681241.60965192</v>
      </c>
      <c r="AV90" s="220"/>
      <c r="AW90" s="219"/>
      <c r="AX90" s="219"/>
      <c r="AY90" s="219"/>
    </row>
    <row r="91" spans="2:51" ht="14" customHeight="1" x14ac:dyDescent="0.15">
      <c r="C91" s="215"/>
      <c r="D91" s="64"/>
      <c r="E91" s="172"/>
      <c r="F91" s="215"/>
      <c r="G91" s="215"/>
      <c r="S91" s="215"/>
      <c r="T91" s="215"/>
      <c r="U91" s="215"/>
      <c r="V91" s="255">
        <f>Y91+AB91+AE91+AH91+AK91+AN91</f>
        <v>823295101.75685966</v>
      </c>
      <c r="W91" s="258" t="s">
        <v>203</v>
      </c>
      <c r="X91" s="262">
        <f>X88-X90</f>
        <v>803249888</v>
      </c>
      <c r="Y91" s="256">
        <f t="shared" ref="Y91:AN91" si="235">Y88-Y90</f>
        <v>803911445</v>
      </c>
      <c r="Z91" s="344">
        <f t="shared" si="228"/>
        <v>661557</v>
      </c>
      <c r="AA91" s="262">
        <f t="shared" si="235"/>
        <v>-246041612.97186238</v>
      </c>
      <c r="AB91" s="256">
        <f t="shared" si="235"/>
        <v>-152131236.17186239</v>
      </c>
      <c r="AC91" s="344">
        <f t="shared" si="229"/>
        <v>93910376.799999982</v>
      </c>
      <c r="AD91" s="262">
        <f t="shared" si="235"/>
        <v>133896965.014768</v>
      </c>
      <c r="AE91" s="256">
        <f t="shared" si="235"/>
        <v>88617909.374768019</v>
      </c>
      <c r="AF91" s="344">
        <f t="shared" si="230"/>
        <v>-45279055.639999986</v>
      </c>
      <c r="AG91" s="262">
        <f t="shared" si="235"/>
        <v>-126054947.75342202</v>
      </c>
      <c r="AH91" s="256">
        <f t="shared" si="235"/>
        <v>72205311.425576001</v>
      </c>
      <c r="AI91" s="344">
        <f t="shared" si="231"/>
        <v>198260259.17899802</v>
      </c>
      <c r="AJ91" s="262">
        <f t="shared" si="235"/>
        <v>707955296.08720398</v>
      </c>
      <c r="AK91" s="256">
        <f t="shared" si="235"/>
        <v>-49866552.152707934</v>
      </c>
      <c r="AL91" s="344">
        <f t="shared" si="232"/>
        <v>-757821848.23991191</v>
      </c>
      <c r="AM91" s="262">
        <f t="shared" si="235"/>
        <v>-230438859.32856596</v>
      </c>
      <c r="AN91" s="256">
        <f t="shared" si="235"/>
        <v>60558224.281085998</v>
      </c>
      <c r="AO91" s="344">
        <f t="shared" si="233"/>
        <v>290997083.60965192</v>
      </c>
      <c r="AV91" s="220"/>
      <c r="AW91" s="219"/>
      <c r="AX91" s="219"/>
      <c r="AY91" s="219"/>
    </row>
    <row r="92" spans="2:51" ht="14" customHeight="1" thickBot="1" x14ac:dyDescent="0.2">
      <c r="C92" s="215"/>
      <c r="D92" s="64"/>
      <c r="E92" s="172"/>
      <c r="F92" s="215"/>
      <c r="G92" s="215"/>
      <c r="S92" s="215"/>
      <c r="T92" s="215"/>
      <c r="U92" s="215"/>
      <c r="V92" s="255">
        <f>Y92+AB92+AE92+AH92+AK92+AN92</f>
        <v>4594725180.8921585</v>
      </c>
      <c r="W92" s="258" t="s">
        <v>204</v>
      </c>
      <c r="X92" s="264">
        <f>X91</f>
        <v>803249888</v>
      </c>
      <c r="Y92" s="265">
        <f t="shared" ref="Y92" si="236">Y91</f>
        <v>803911445</v>
      </c>
      <c r="Z92" s="344">
        <f t="shared" si="228"/>
        <v>661557</v>
      </c>
      <c r="AA92" s="264">
        <f>AA91+X92</f>
        <v>557208275.02813768</v>
      </c>
      <c r="AB92" s="265">
        <f>AB91+Y92</f>
        <v>651780208.82813764</v>
      </c>
      <c r="AC92" s="344">
        <f t="shared" si="229"/>
        <v>94571933.799999952</v>
      </c>
      <c r="AD92" s="264">
        <f>AD91+AA92</f>
        <v>691105240.04290569</v>
      </c>
      <c r="AE92" s="265">
        <f>AE91+AB92</f>
        <v>740398118.20290565</v>
      </c>
      <c r="AF92" s="344">
        <f t="shared" si="230"/>
        <v>49292878.159999967</v>
      </c>
      <c r="AG92" s="264">
        <f>AG91+AD92</f>
        <v>565050292.28948367</v>
      </c>
      <c r="AH92" s="265">
        <f>AH91+AE92</f>
        <v>812603429.62848163</v>
      </c>
      <c r="AI92" s="344">
        <f t="shared" si="231"/>
        <v>247553137.33899796</v>
      </c>
      <c r="AJ92" s="264">
        <f>AJ91+AG92</f>
        <v>1273005588.3766875</v>
      </c>
      <c r="AK92" s="265">
        <f>AK91+AH92</f>
        <v>762736877.47577369</v>
      </c>
      <c r="AL92" s="344">
        <f t="shared" si="232"/>
        <v>-510268710.90091383</v>
      </c>
      <c r="AM92" s="264">
        <f>AM91+AJ92</f>
        <v>1042566729.0481216</v>
      </c>
      <c r="AN92" s="265">
        <f>AN91+AK92</f>
        <v>823295101.75685966</v>
      </c>
      <c r="AO92" s="344">
        <f t="shared" si="233"/>
        <v>-219271627.29126191</v>
      </c>
      <c r="AV92" s="220"/>
      <c r="AW92" s="219"/>
      <c r="AX92" s="219"/>
      <c r="AY92" s="219"/>
    </row>
    <row r="93" spans="2:51" ht="14" customHeight="1" thickBot="1" x14ac:dyDescent="0.2">
      <c r="C93" s="215"/>
      <c r="D93" s="65">
        <f>'[8]Flujo de caja PRESU'!D79</f>
        <v>-375893577.23055434</v>
      </c>
      <c r="E93" s="173" t="e">
        <f>MIN(AB92,AF92,AJ92,AN92,#REF!)</f>
        <v>#REF!</v>
      </c>
      <c r="F93" s="215"/>
      <c r="G93" s="215"/>
      <c r="S93" s="215"/>
      <c r="T93" s="215"/>
      <c r="U93" s="215"/>
      <c r="V93" s="219"/>
      <c r="X93" s="219"/>
      <c r="Y93" s="219"/>
      <c r="Z93" s="219"/>
      <c r="AA93" s="219"/>
      <c r="AB93" s="219"/>
      <c r="AC93" s="219"/>
      <c r="AD93" s="219"/>
      <c r="AE93" s="219"/>
      <c r="AF93" s="219"/>
      <c r="AG93" s="219"/>
      <c r="AH93" s="219"/>
      <c r="AI93" s="219"/>
      <c r="AJ93" s="219"/>
      <c r="AK93" s="219"/>
      <c r="AL93" s="219"/>
      <c r="AM93" s="343">
        <f>AM92/D21</f>
        <v>0.35614995793963017</v>
      </c>
      <c r="AN93" s="342"/>
      <c r="AO93" s="219"/>
      <c r="AV93" s="220"/>
      <c r="AW93" s="219"/>
      <c r="AX93" s="219"/>
      <c r="AY93" s="219"/>
    </row>
    <row r="94" spans="2:51" ht="14" customHeight="1" x14ac:dyDescent="0.15">
      <c r="AV94" s="220"/>
    </row>
    <row r="95" spans="2:51" ht="14" customHeight="1" x14ac:dyDescent="0.15">
      <c r="AV95" s="220"/>
    </row>
    <row r="96" spans="2:51" ht="14" customHeight="1" x14ac:dyDescent="0.15">
      <c r="W96" s="61" t="s">
        <v>205</v>
      </c>
      <c r="X96" s="345">
        <f>MIN(X92:AO92)</f>
        <v>-510268710.90091383</v>
      </c>
    </row>
  </sheetData>
  <autoFilter ref="B27:AU62" xr:uid="{3B68C88E-30F5-4D9C-AA48-4C109FA8DC48}"/>
  <mergeCells count="23">
    <mergeCell ref="AP17:AR17"/>
    <mergeCell ref="AP26:AR26"/>
    <mergeCell ref="AM17:AO17"/>
    <mergeCell ref="AJ26:AL26"/>
    <mergeCell ref="E26:G26"/>
    <mergeCell ref="AG17:AI17"/>
    <mergeCell ref="AJ17:AL17"/>
    <mergeCell ref="B7:H7"/>
    <mergeCell ref="AA26:AC26"/>
    <mergeCell ref="AD26:AF26"/>
    <mergeCell ref="AG26:AI26"/>
    <mergeCell ref="P26:R26"/>
    <mergeCell ref="X26:Z26"/>
    <mergeCell ref="X17:Z17"/>
    <mergeCell ref="AA17:AC17"/>
    <mergeCell ref="AD17:AF17"/>
    <mergeCell ref="J26:L26"/>
    <mergeCell ref="AM86:AO86"/>
    <mergeCell ref="X86:Z86"/>
    <mergeCell ref="AA86:AC86"/>
    <mergeCell ref="AD86:AF86"/>
    <mergeCell ref="AG86:AI86"/>
    <mergeCell ref="AJ86:AL86"/>
  </mergeCells>
  <conditionalFormatting sqref="H28:H77">
    <cfRule type="cellIs" dxfId="138" priority="510" operator="lessThan">
      <formula>0</formula>
    </cfRule>
  </conditionalFormatting>
  <conditionalFormatting sqref="M28">
    <cfRule type="cellIs" dxfId="137" priority="57" operator="lessThan">
      <formula>0</formula>
    </cfRule>
  </conditionalFormatting>
  <conditionalFormatting sqref="M30:M35">
    <cfRule type="cellIs" dxfId="136" priority="67" operator="lessThan">
      <formula>0</formula>
    </cfRule>
  </conditionalFormatting>
  <conditionalFormatting sqref="M37:M39">
    <cfRule type="cellIs" dxfId="135" priority="52" operator="lessThan">
      <formula>0</formula>
    </cfRule>
  </conditionalFormatting>
  <conditionalFormatting sqref="M41:M42">
    <cfRule type="cellIs" dxfId="134" priority="44" operator="lessThan">
      <formula>0</formula>
    </cfRule>
  </conditionalFormatting>
  <conditionalFormatting sqref="M44:M52">
    <cfRule type="cellIs" dxfId="133" priority="51" operator="lessThan">
      <formula>0</formula>
    </cfRule>
  </conditionalFormatting>
  <conditionalFormatting sqref="M54">
    <cfRule type="cellIs" dxfId="132" priority="50" operator="lessThan">
      <formula>0</formula>
    </cfRule>
  </conditionalFormatting>
  <conditionalFormatting sqref="M55">
    <cfRule type="cellIs" dxfId="131" priority="56" operator="lessThan">
      <formula>0</formula>
    </cfRule>
  </conditionalFormatting>
  <conditionalFormatting sqref="M57:M60">
    <cfRule type="cellIs" dxfId="130" priority="49" operator="lessThan">
      <formula>0</formula>
    </cfRule>
  </conditionalFormatting>
  <conditionalFormatting sqref="M61">
    <cfRule type="cellIs" dxfId="129" priority="55" operator="lessThan">
      <formula>0</formula>
    </cfRule>
  </conditionalFormatting>
  <conditionalFormatting sqref="M63">
    <cfRule type="cellIs" dxfId="128" priority="48" operator="lessThan">
      <formula>0</formula>
    </cfRule>
  </conditionalFormatting>
  <conditionalFormatting sqref="M64">
    <cfRule type="cellIs" dxfId="127" priority="54" operator="lessThan">
      <formula>0</formula>
    </cfRule>
  </conditionalFormatting>
  <conditionalFormatting sqref="M67:M69">
    <cfRule type="cellIs" dxfId="126" priority="47" operator="lessThan">
      <formula>0</formula>
    </cfRule>
  </conditionalFormatting>
  <conditionalFormatting sqref="M71:M73">
    <cfRule type="cellIs" dxfId="125" priority="46" operator="lessThan">
      <formula>0</formula>
    </cfRule>
  </conditionalFormatting>
  <conditionalFormatting sqref="M74">
    <cfRule type="cellIs" dxfId="124" priority="53" operator="lessThan">
      <formula>0</formula>
    </cfRule>
  </conditionalFormatting>
  <conditionalFormatting sqref="M76">
    <cfRule type="cellIs" dxfId="123" priority="45" operator="lessThan">
      <formula>0</formula>
    </cfRule>
  </conditionalFormatting>
  <conditionalFormatting sqref="S28:S77">
    <cfRule type="cellIs" dxfId="122" priority="15" operator="lessThan">
      <formula>0</formula>
    </cfRule>
  </conditionalFormatting>
  <conditionalFormatting sqref="V28">
    <cfRule type="cellIs" dxfId="121" priority="423" operator="lessThan">
      <formula>0</formula>
    </cfRule>
  </conditionalFormatting>
  <conditionalFormatting sqref="V30:V35">
    <cfRule type="cellIs" dxfId="120" priority="433" operator="lessThan">
      <formula>0</formula>
    </cfRule>
  </conditionalFormatting>
  <conditionalFormatting sqref="V37:V39">
    <cfRule type="cellIs" dxfId="119" priority="418" operator="lessThan">
      <formula>0</formula>
    </cfRule>
  </conditionalFormatting>
  <conditionalFormatting sqref="V41:V42">
    <cfRule type="cellIs" dxfId="118" priority="417" operator="lessThan">
      <formula>0</formula>
    </cfRule>
  </conditionalFormatting>
  <conditionalFormatting sqref="V44:V52">
    <cfRule type="cellIs" dxfId="117" priority="416" operator="lessThan">
      <formula>0</formula>
    </cfRule>
  </conditionalFormatting>
  <conditionalFormatting sqref="V54">
    <cfRule type="cellIs" dxfId="116" priority="415" operator="lessThan">
      <formula>0</formula>
    </cfRule>
  </conditionalFormatting>
  <conditionalFormatting sqref="V55">
    <cfRule type="cellIs" dxfId="115" priority="422" operator="lessThan">
      <formula>0</formula>
    </cfRule>
  </conditionalFormatting>
  <conditionalFormatting sqref="V57:V60">
    <cfRule type="cellIs" dxfId="114" priority="414" operator="lessThan">
      <formula>0</formula>
    </cfRule>
  </conditionalFormatting>
  <conditionalFormatting sqref="V61">
    <cfRule type="cellIs" dxfId="113" priority="421" operator="lessThan">
      <formula>0</formula>
    </cfRule>
  </conditionalFormatting>
  <conditionalFormatting sqref="V63">
    <cfRule type="cellIs" dxfId="112" priority="413" operator="lessThan">
      <formula>0</formula>
    </cfRule>
  </conditionalFormatting>
  <conditionalFormatting sqref="V64">
    <cfRule type="cellIs" dxfId="111" priority="420" operator="lessThan">
      <formula>0</formula>
    </cfRule>
  </conditionalFormatting>
  <conditionalFormatting sqref="V67:V69">
    <cfRule type="cellIs" dxfId="110" priority="412" operator="lessThan">
      <formula>0</formula>
    </cfRule>
  </conditionalFormatting>
  <conditionalFormatting sqref="V71:V73">
    <cfRule type="cellIs" dxfId="109" priority="411" operator="lessThan">
      <formula>0</formula>
    </cfRule>
  </conditionalFormatting>
  <conditionalFormatting sqref="V74">
    <cfRule type="cellIs" dxfId="108" priority="419" operator="lessThan">
      <formula>0</formula>
    </cfRule>
  </conditionalFormatting>
  <conditionalFormatting sqref="V76">
    <cfRule type="cellIs" dxfId="107" priority="410" operator="lessThan">
      <formula>0</formula>
    </cfRule>
  </conditionalFormatting>
  <conditionalFormatting sqref="W83:AP83">
    <cfRule type="iconSet" priority="544">
      <iconSet showValue="0">
        <cfvo type="percent" val="0"/>
        <cfvo type="num" val="0" gte="0"/>
        <cfvo type="num" val="0"/>
      </iconSet>
    </cfRule>
  </conditionalFormatting>
  <conditionalFormatting sqref="X91:Y91 AA91:AB91 AD91:AE91 AG91:AH91 AJ91:AK91 AM91:AN91">
    <cfRule type="cellIs" dxfId="105" priority="68" operator="lessThan">
      <formula>0</formula>
    </cfRule>
  </conditionalFormatting>
  <conditionalFormatting sqref="Z28">
    <cfRule type="cellIs" dxfId="104" priority="408" operator="lessThan">
      <formula>0</formula>
    </cfRule>
  </conditionalFormatting>
  <conditionalFormatting sqref="Z30:Z35">
    <cfRule type="cellIs" dxfId="103" priority="409" operator="lessThan">
      <formula>0</formula>
    </cfRule>
  </conditionalFormatting>
  <conditionalFormatting sqref="Z37:Z39">
    <cfRule type="cellIs" dxfId="102" priority="394" operator="lessThan">
      <formula>0</formula>
    </cfRule>
  </conditionalFormatting>
  <conditionalFormatting sqref="Z41:Z42">
    <cfRule type="cellIs" dxfId="101" priority="393" operator="lessThan">
      <formula>0</formula>
    </cfRule>
  </conditionalFormatting>
  <conditionalFormatting sqref="Z44:Z52">
    <cfRule type="cellIs" dxfId="100" priority="392" operator="lessThan">
      <formula>0</formula>
    </cfRule>
  </conditionalFormatting>
  <conditionalFormatting sqref="Z54">
    <cfRule type="cellIs" dxfId="99" priority="391" operator="lessThan">
      <formula>0</formula>
    </cfRule>
  </conditionalFormatting>
  <conditionalFormatting sqref="Z55">
    <cfRule type="cellIs" dxfId="98" priority="407" operator="lessThan">
      <formula>0</formula>
    </cfRule>
  </conditionalFormatting>
  <conditionalFormatting sqref="Z57:Z60">
    <cfRule type="cellIs" dxfId="97" priority="390" operator="lessThan">
      <formula>0</formula>
    </cfRule>
  </conditionalFormatting>
  <conditionalFormatting sqref="Z61">
    <cfRule type="cellIs" dxfId="96" priority="406" operator="lessThan">
      <formula>0</formula>
    </cfRule>
  </conditionalFormatting>
  <conditionalFormatting sqref="Z63">
    <cfRule type="cellIs" dxfId="95" priority="389" operator="lessThan">
      <formula>0</formula>
    </cfRule>
  </conditionalFormatting>
  <conditionalFormatting sqref="Z64">
    <cfRule type="cellIs" dxfId="94" priority="405" operator="lessThan">
      <formula>0</formula>
    </cfRule>
  </conditionalFormatting>
  <conditionalFormatting sqref="Z67:Z69">
    <cfRule type="cellIs" dxfId="93" priority="388" operator="lessThan">
      <formula>0</formula>
    </cfRule>
  </conditionalFormatting>
  <conditionalFormatting sqref="Z71:Z73">
    <cfRule type="cellIs" dxfId="92" priority="387" operator="lessThan">
      <formula>0</formula>
    </cfRule>
  </conditionalFormatting>
  <conditionalFormatting sqref="Z74">
    <cfRule type="cellIs" dxfId="91" priority="404" operator="lessThan">
      <formula>0</formula>
    </cfRule>
  </conditionalFormatting>
  <conditionalFormatting sqref="Z76:Z77">
    <cfRule type="cellIs" dxfId="90" priority="386" operator="lessThan">
      <formula>0</formula>
    </cfRule>
  </conditionalFormatting>
  <conditionalFormatting sqref="Z88:Z92">
    <cfRule type="cellIs" dxfId="89" priority="19" operator="lessThan">
      <formula>0</formula>
    </cfRule>
  </conditionalFormatting>
  <conditionalFormatting sqref="AC28">
    <cfRule type="cellIs" dxfId="88" priority="159" operator="lessThan">
      <formula>0</formula>
    </cfRule>
  </conditionalFormatting>
  <conditionalFormatting sqref="AC30:AC35">
    <cfRule type="cellIs" dxfId="87" priority="160" operator="lessThan">
      <formula>0</formula>
    </cfRule>
  </conditionalFormatting>
  <conditionalFormatting sqref="AC37:AC39">
    <cfRule type="cellIs" dxfId="86" priority="154" operator="lessThan">
      <formula>0</formula>
    </cfRule>
  </conditionalFormatting>
  <conditionalFormatting sqref="AC41:AC42">
    <cfRule type="cellIs" dxfId="85" priority="153" operator="lessThan">
      <formula>0</formula>
    </cfRule>
  </conditionalFormatting>
  <conditionalFormatting sqref="AC44:AC52">
    <cfRule type="cellIs" dxfId="84" priority="152" operator="lessThan">
      <formula>0</formula>
    </cfRule>
  </conditionalFormatting>
  <conditionalFormatting sqref="AC54">
    <cfRule type="cellIs" dxfId="83" priority="151" operator="lessThan">
      <formula>0</formula>
    </cfRule>
  </conditionalFormatting>
  <conditionalFormatting sqref="AC55">
    <cfRule type="cellIs" dxfId="82" priority="158" operator="lessThan">
      <formula>0</formula>
    </cfRule>
  </conditionalFormatting>
  <conditionalFormatting sqref="AC57:AC60">
    <cfRule type="cellIs" dxfId="81" priority="150" operator="lessThan">
      <formula>0</formula>
    </cfRule>
  </conditionalFormatting>
  <conditionalFormatting sqref="AC61">
    <cfRule type="cellIs" dxfId="80" priority="157" operator="lessThan">
      <formula>0</formula>
    </cfRule>
  </conditionalFormatting>
  <conditionalFormatting sqref="AC63">
    <cfRule type="cellIs" dxfId="79" priority="149" operator="lessThan">
      <formula>0</formula>
    </cfRule>
  </conditionalFormatting>
  <conditionalFormatting sqref="AC64">
    <cfRule type="cellIs" dxfId="78" priority="156" operator="lessThan">
      <formula>0</formula>
    </cfRule>
  </conditionalFormatting>
  <conditionalFormatting sqref="AC67:AC69">
    <cfRule type="cellIs" dxfId="77" priority="148" operator="lessThan">
      <formula>0</formula>
    </cfRule>
  </conditionalFormatting>
  <conditionalFormatting sqref="AC71:AC73">
    <cfRule type="cellIs" dxfId="76" priority="147" operator="lessThan">
      <formula>0</formula>
    </cfRule>
  </conditionalFormatting>
  <conditionalFormatting sqref="AC74">
    <cfRule type="cellIs" dxfId="75" priority="83" operator="lessThan">
      <formula>0</formula>
    </cfRule>
  </conditionalFormatting>
  <conditionalFormatting sqref="AC76:AC77">
    <cfRule type="cellIs" dxfId="74" priority="36" operator="lessThan">
      <formula>0</formula>
    </cfRule>
  </conditionalFormatting>
  <conditionalFormatting sqref="AC88:AC92">
    <cfRule type="cellIs" dxfId="73" priority="18" operator="lessThan">
      <formula>0</formula>
    </cfRule>
  </conditionalFormatting>
  <conditionalFormatting sqref="AF28">
    <cfRule type="cellIs" dxfId="72" priority="144" operator="lessThan">
      <formula>0</formula>
    </cfRule>
  </conditionalFormatting>
  <conditionalFormatting sqref="AF30:AF35">
    <cfRule type="cellIs" dxfId="71" priority="145" operator="lessThan">
      <formula>0</formula>
    </cfRule>
  </conditionalFormatting>
  <conditionalFormatting sqref="AF37:AF39">
    <cfRule type="cellIs" dxfId="70" priority="139" operator="lessThan">
      <formula>0</formula>
    </cfRule>
  </conditionalFormatting>
  <conditionalFormatting sqref="AF41:AF42">
    <cfRule type="cellIs" dxfId="69" priority="138" operator="lessThan">
      <formula>0</formula>
    </cfRule>
  </conditionalFormatting>
  <conditionalFormatting sqref="AF44:AF52">
    <cfRule type="cellIs" dxfId="68" priority="137" operator="lessThan">
      <formula>0</formula>
    </cfRule>
  </conditionalFormatting>
  <conditionalFormatting sqref="AF54">
    <cfRule type="cellIs" dxfId="67" priority="136" operator="lessThan">
      <formula>0</formula>
    </cfRule>
  </conditionalFormatting>
  <conditionalFormatting sqref="AF55">
    <cfRule type="cellIs" dxfId="66" priority="143" operator="lessThan">
      <formula>0</formula>
    </cfRule>
  </conditionalFormatting>
  <conditionalFormatting sqref="AF57:AF60">
    <cfRule type="cellIs" dxfId="65" priority="135" operator="lessThan">
      <formula>0</formula>
    </cfRule>
  </conditionalFormatting>
  <conditionalFormatting sqref="AF61">
    <cfRule type="cellIs" dxfId="64" priority="142" operator="lessThan">
      <formula>0</formula>
    </cfRule>
  </conditionalFormatting>
  <conditionalFormatting sqref="AF63">
    <cfRule type="cellIs" dxfId="63" priority="134" operator="lessThan">
      <formula>0</formula>
    </cfRule>
  </conditionalFormatting>
  <conditionalFormatting sqref="AF64">
    <cfRule type="cellIs" dxfId="62" priority="141" operator="lessThan">
      <formula>0</formula>
    </cfRule>
  </conditionalFormatting>
  <conditionalFormatting sqref="AF67:AF69">
    <cfRule type="cellIs" dxfId="61" priority="133" operator="lessThan">
      <formula>0</formula>
    </cfRule>
  </conditionalFormatting>
  <conditionalFormatting sqref="AF71:AF73">
    <cfRule type="cellIs" dxfId="60" priority="132" operator="lessThan">
      <formula>0</formula>
    </cfRule>
  </conditionalFormatting>
  <conditionalFormatting sqref="AF76:AF77">
    <cfRule type="cellIs" dxfId="59" priority="35" operator="lessThan">
      <formula>0</formula>
    </cfRule>
  </conditionalFormatting>
  <conditionalFormatting sqref="AF88:AF92">
    <cfRule type="cellIs" dxfId="58" priority="20" operator="lessThan">
      <formula>0</formula>
    </cfRule>
  </conditionalFormatting>
  <conditionalFormatting sqref="AI30:AI35">
    <cfRule type="cellIs" dxfId="57" priority="130" operator="lessThan">
      <formula>0</formula>
    </cfRule>
  </conditionalFormatting>
  <conditionalFormatting sqref="AI37:AI39">
    <cfRule type="cellIs" dxfId="56" priority="124" operator="lessThan">
      <formula>0</formula>
    </cfRule>
  </conditionalFormatting>
  <conditionalFormatting sqref="AI41:AI42">
    <cfRule type="cellIs" dxfId="55" priority="123" operator="lessThan">
      <formula>0</formula>
    </cfRule>
  </conditionalFormatting>
  <conditionalFormatting sqref="AI44:AI52">
    <cfRule type="cellIs" dxfId="54" priority="122" operator="lessThan">
      <formula>0</formula>
    </cfRule>
  </conditionalFormatting>
  <conditionalFormatting sqref="AI54">
    <cfRule type="cellIs" dxfId="53" priority="121" operator="lessThan">
      <formula>0</formula>
    </cfRule>
  </conditionalFormatting>
  <conditionalFormatting sqref="AI57:AI60">
    <cfRule type="cellIs" dxfId="52" priority="120" operator="lessThan">
      <formula>0</formula>
    </cfRule>
  </conditionalFormatting>
  <conditionalFormatting sqref="AI61">
    <cfRule type="cellIs" dxfId="51" priority="127" operator="lessThan">
      <formula>0</formula>
    </cfRule>
  </conditionalFormatting>
  <conditionalFormatting sqref="AI63">
    <cfRule type="cellIs" dxfId="50" priority="119" operator="lessThan">
      <formula>0</formula>
    </cfRule>
  </conditionalFormatting>
  <conditionalFormatting sqref="AI64">
    <cfRule type="cellIs" dxfId="49" priority="126" operator="lessThan">
      <formula>0</formula>
    </cfRule>
  </conditionalFormatting>
  <conditionalFormatting sqref="AI67:AI69">
    <cfRule type="cellIs" dxfId="48" priority="118" operator="lessThan">
      <formula>0</formula>
    </cfRule>
  </conditionalFormatting>
  <conditionalFormatting sqref="AI71:AI73">
    <cfRule type="cellIs" dxfId="47" priority="117" operator="lessThan">
      <formula>0</formula>
    </cfRule>
  </conditionalFormatting>
  <conditionalFormatting sqref="AI76:AI77">
    <cfRule type="cellIs" dxfId="46" priority="34" operator="lessThan">
      <formula>0</formula>
    </cfRule>
  </conditionalFormatting>
  <conditionalFormatting sqref="AI88:AI92">
    <cfRule type="cellIs" dxfId="45" priority="21" operator="lessThan">
      <formula>0</formula>
    </cfRule>
  </conditionalFormatting>
  <conditionalFormatting sqref="AL28">
    <cfRule type="cellIs" dxfId="44" priority="114" operator="lessThan">
      <formula>0</formula>
    </cfRule>
  </conditionalFormatting>
  <conditionalFormatting sqref="AL30:AL35">
    <cfRule type="cellIs" dxfId="43" priority="115" operator="lessThan">
      <formula>0</formula>
    </cfRule>
  </conditionalFormatting>
  <conditionalFormatting sqref="AL37:AL39">
    <cfRule type="cellIs" dxfId="42" priority="109" operator="lessThan">
      <formula>0</formula>
    </cfRule>
  </conditionalFormatting>
  <conditionalFormatting sqref="AL41:AL42">
    <cfRule type="cellIs" dxfId="41" priority="108" operator="lessThan">
      <formula>0</formula>
    </cfRule>
  </conditionalFormatting>
  <conditionalFormatting sqref="AL44:AL52">
    <cfRule type="cellIs" dxfId="40" priority="107" operator="lessThan">
      <formula>0</formula>
    </cfRule>
  </conditionalFormatting>
  <conditionalFormatting sqref="AL54">
    <cfRule type="cellIs" dxfId="39" priority="106" operator="lessThan">
      <formula>0</formula>
    </cfRule>
  </conditionalFormatting>
  <conditionalFormatting sqref="AL55">
    <cfRule type="cellIs" dxfId="38" priority="113" operator="lessThan">
      <formula>0</formula>
    </cfRule>
  </conditionalFormatting>
  <conditionalFormatting sqref="AL57:AL60">
    <cfRule type="cellIs" dxfId="37" priority="105" operator="lessThan">
      <formula>0</formula>
    </cfRule>
  </conditionalFormatting>
  <conditionalFormatting sqref="AL61">
    <cfRule type="cellIs" dxfId="36" priority="112" operator="lessThan">
      <formula>0</formula>
    </cfRule>
  </conditionalFormatting>
  <conditionalFormatting sqref="AL63">
    <cfRule type="cellIs" dxfId="35" priority="104" operator="lessThan">
      <formula>0</formula>
    </cfRule>
  </conditionalFormatting>
  <conditionalFormatting sqref="AL64">
    <cfRule type="cellIs" dxfId="34" priority="111" operator="lessThan">
      <formula>0</formula>
    </cfRule>
  </conditionalFormatting>
  <conditionalFormatting sqref="AL67:AL69">
    <cfRule type="cellIs" dxfId="33" priority="103" operator="lessThan">
      <formula>0</formula>
    </cfRule>
  </conditionalFormatting>
  <conditionalFormatting sqref="AL71:AL73">
    <cfRule type="cellIs" dxfId="32" priority="102" operator="lessThan">
      <formula>0</formula>
    </cfRule>
  </conditionalFormatting>
  <conditionalFormatting sqref="AL76:AL77">
    <cfRule type="cellIs" dxfId="31" priority="33" operator="lessThan">
      <formula>0</formula>
    </cfRule>
  </conditionalFormatting>
  <conditionalFormatting sqref="AL88:AL92">
    <cfRule type="cellIs" dxfId="30" priority="17" operator="lessThan">
      <formula>0</formula>
    </cfRule>
  </conditionalFormatting>
  <conditionalFormatting sqref="AO28">
    <cfRule type="cellIs" dxfId="29" priority="99" operator="lessThan">
      <formula>0</formula>
    </cfRule>
  </conditionalFormatting>
  <conditionalFormatting sqref="AO30:AO35">
    <cfRule type="cellIs" dxfId="28" priority="100" operator="lessThan">
      <formula>0</formula>
    </cfRule>
  </conditionalFormatting>
  <conditionalFormatting sqref="AO37:AO39">
    <cfRule type="cellIs" dxfId="27" priority="31" operator="lessThan">
      <formula>0</formula>
    </cfRule>
  </conditionalFormatting>
  <conditionalFormatting sqref="AO41:AO42">
    <cfRule type="cellIs" dxfId="26" priority="30" operator="lessThan">
      <formula>0</formula>
    </cfRule>
  </conditionalFormatting>
  <conditionalFormatting sqref="AO44:AO52">
    <cfRule type="cellIs" dxfId="25" priority="28" operator="lessThan">
      <formula>0</formula>
    </cfRule>
  </conditionalFormatting>
  <conditionalFormatting sqref="AO54">
    <cfRule type="cellIs" dxfId="24" priority="27" operator="lessThan">
      <formula>0</formula>
    </cfRule>
  </conditionalFormatting>
  <conditionalFormatting sqref="AO55">
    <cfRule type="cellIs" dxfId="23" priority="98" operator="lessThan">
      <formula>0</formula>
    </cfRule>
  </conditionalFormatting>
  <conditionalFormatting sqref="AO57:AO60">
    <cfRule type="cellIs" dxfId="22" priority="26" operator="lessThan">
      <formula>0</formula>
    </cfRule>
  </conditionalFormatting>
  <conditionalFormatting sqref="AO61">
    <cfRule type="cellIs" dxfId="21" priority="97" operator="lessThan">
      <formula>0</formula>
    </cfRule>
  </conditionalFormatting>
  <conditionalFormatting sqref="AO63">
    <cfRule type="cellIs" dxfId="20" priority="25" operator="lessThan">
      <formula>0</formula>
    </cfRule>
  </conditionalFormatting>
  <conditionalFormatting sqref="AO64">
    <cfRule type="cellIs" dxfId="19" priority="96" operator="lessThan">
      <formula>0</formula>
    </cfRule>
  </conditionalFormatting>
  <conditionalFormatting sqref="AO67:AO69">
    <cfRule type="cellIs" dxfId="18" priority="24" operator="lessThan">
      <formula>0</formula>
    </cfRule>
  </conditionalFormatting>
  <conditionalFormatting sqref="AO71:AO73">
    <cfRule type="cellIs" dxfId="17" priority="23" operator="lessThan">
      <formula>0</formula>
    </cfRule>
  </conditionalFormatting>
  <conditionalFormatting sqref="AO74">
    <cfRule type="cellIs" dxfId="16" priority="75" operator="lessThan">
      <formula>0</formula>
    </cfRule>
  </conditionalFormatting>
  <conditionalFormatting sqref="AO76:AO77">
    <cfRule type="cellIs" dxfId="15" priority="22" operator="lessThan">
      <formula>0</formula>
    </cfRule>
  </conditionalFormatting>
  <conditionalFormatting sqref="AO88:AO92">
    <cfRule type="cellIs" dxfId="14" priority="16" operator="lessThan">
      <formula>0</formula>
    </cfRule>
  </conditionalFormatting>
  <conditionalFormatting sqref="AR28">
    <cfRule type="cellIs" dxfId="13" priority="13" operator="lessThan">
      <formula>0</formula>
    </cfRule>
  </conditionalFormatting>
  <conditionalFormatting sqref="AR30:AR35">
    <cfRule type="cellIs" dxfId="12" priority="14" operator="lessThan">
      <formula>0</formula>
    </cfRule>
  </conditionalFormatting>
  <conditionalFormatting sqref="AR37:AR39">
    <cfRule type="cellIs" dxfId="11" priority="9" operator="lessThan">
      <formula>0</formula>
    </cfRule>
  </conditionalFormatting>
  <conditionalFormatting sqref="AR41:AR42">
    <cfRule type="cellIs" dxfId="10" priority="8" operator="lessThan">
      <formula>0</formula>
    </cfRule>
  </conditionalFormatting>
  <conditionalFormatting sqref="AR44:AR52">
    <cfRule type="cellIs" dxfId="9" priority="7" operator="lessThan">
      <formula>0</formula>
    </cfRule>
  </conditionalFormatting>
  <conditionalFormatting sqref="AR54">
    <cfRule type="cellIs" dxfId="8" priority="6" operator="lessThan">
      <formula>0</formula>
    </cfRule>
  </conditionalFormatting>
  <conditionalFormatting sqref="AR55">
    <cfRule type="cellIs" dxfId="7" priority="12" operator="lessThan">
      <formula>0</formula>
    </cfRule>
  </conditionalFormatting>
  <conditionalFormatting sqref="AR57:AR60">
    <cfRule type="cellIs" dxfId="6" priority="5" operator="lessThan">
      <formula>0</formula>
    </cfRule>
  </conditionalFormatting>
  <conditionalFormatting sqref="AR61">
    <cfRule type="cellIs" dxfId="5" priority="11" operator="lessThan">
      <formula>0</formula>
    </cfRule>
  </conditionalFormatting>
  <conditionalFormatting sqref="AR63">
    <cfRule type="cellIs" dxfId="4" priority="4" operator="lessThan">
      <formula>0</formula>
    </cfRule>
  </conditionalFormatting>
  <conditionalFormatting sqref="AR64">
    <cfRule type="cellIs" dxfId="3" priority="10" operator="lessThan">
      <formula>0</formula>
    </cfRule>
  </conditionalFormatting>
  <conditionalFormatting sqref="AR67:AR69">
    <cfRule type="cellIs" dxfId="2" priority="3" operator="lessThan">
      <formula>0</formula>
    </cfRule>
  </conditionalFormatting>
  <conditionalFormatting sqref="AR71:AR73">
    <cfRule type="cellIs" dxfId="1" priority="2" operator="lessThan">
      <formula>0</formula>
    </cfRule>
  </conditionalFormatting>
  <conditionalFormatting sqref="AR76:AR77">
    <cfRule type="cellIs" dxfId="0" priority="1" operator="lessThan">
      <formula>0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519" id="{94F568A7-315E-4B89-AD04-03824FBFF007}">
            <x14:iconSet showValue="0" custom="1">
              <x14:cfvo type="percent">
                <xm:f>0</xm:f>
              </x14:cfvo>
              <x14:cfvo type="num">
                <xm:f>0.1</xm:f>
              </x14:cfvo>
              <x14:cfvo type="num">
                <xm:f>0.1</xm:f>
              </x14:cfvo>
              <x14:cfIcon iconSet="3TrafficLights1" iconId="0"/>
              <x14:cfIcon iconSet="3TrafficLights1" iconId="1"/>
              <x14:cfIcon iconSet="3TrafficLights1" iconId="2"/>
            </x14:iconSet>
          </x14:cfRule>
          <xm:sqref>Q94:R117</xm:sqref>
        </x14:conditionalFormatting>
        <x14:conditionalFormatting xmlns:xm="http://schemas.microsoft.com/office/excel/2006/main">
          <x14:cfRule type="containsText" priority="516" operator="containsText" id="{BB043E81-32F2-4E4D-8274-279EDE33BCFC}">
            <xm:f>NOT(ISERROR(SEARCH($V$25,V77)))</xm:f>
            <xm:f>$V$25</xm:f>
            <x14:dxf>
              <fill>
                <patternFill>
                  <bgColor rgb="FFFF0000"/>
                </patternFill>
              </fill>
            </x14:dxf>
          </x14:cfRule>
          <xm:sqref>V77:V84 W81:AP82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354E1-269C-4C09-9F4F-1935B0FFBA8C}">
  <sheetPr>
    <tabColor theme="4" tint="0.39997558519241921"/>
  </sheetPr>
  <dimension ref="B2:I43"/>
  <sheetViews>
    <sheetView topLeftCell="A10" workbookViewId="0">
      <selection activeCell="D30" sqref="D30"/>
    </sheetView>
  </sheetViews>
  <sheetFormatPr baseColWidth="10" defaultColWidth="11.5" defaultRowHeight="15" x14ac:dyDescent="0.2"/>
  <cols>
    <col min="2" max="2" width="32.6640625" customWidth="1"/>
    <col min="3" max="3" width="16.83203125" customWidth="1"/>
    <col min="4" max="4" width="21.5" customWidth="1"/>
    <col min="5" max="5" width="17.6640625" customWidth="1"/>
    <col min="6" max="6" width="24.5" customWidth="1"/>
    <col min="7" max="7" width="24.6640625" customWidth="1"/>
    <col min="8" max="8" width="16.1640625" customWidth="1"/>
  </cols>
  <sheetData>
    <row r="2" spans="2:8" x14ac:dyDescent="0.2">
      <c r="B2" s="472" t="s">
        <v>142</v>
      </c>
      <c r="C2" s="473"/>
      <c r="D2" s="473"/>
      <c r="E2" s="473"/>
      <c r="F2" s="473"/>
      <c r="G2" s="473"/>
      <c r="H2" s="473"/>
    </row>
    <row r="3" spans="2:8" x14ac:dyDescent="0.2">
      <c r="B3" s="68"/>
      <c r="C3" s="69"/>
      <c r="D3" s="70"/>
      <c r="E3" s="70"/>
      <c r="F3" s="70"/>
      <c r="G3" s="67"/>
      <c r="H3" s="67"/>
    </row>
    <row r="4" spans="2:8" x14ac:dyDescent="0.2">
      <c r="B4" s="71" t="s">
        <v>141</v>
      </c>
      <c r="C4" s="72" t="s">
        <v>142</v>
      </c>
      <c r="D4" s="72"/>
      <c r="E4" s="72"/>
      <c r="F4" s="72"/>
      <c r="G4" s="67"/>
      <c r="H4" s="67"/>
    </row>
    <row r="5" spans="2:8" x14ac:dyDescent="0.2">
      <c r="B5" s="71" t="s">
        <v>143</v>
      </c>
      <c r="C5" s="72" t="s">
        <v>144</v>
      </c>
      <c r="D5" s="72"/>
      <c r="E5" s="72"/>
      <c r="F5" s="72"/>
      <c r="G5" s="67"/>
      <c r="H5" s="67"/>
    </row>
    <row r="6" spans="2:8" x14ac:dyDescent="0.2">
      <c r="B6" s="71"/>
      <c r="C6" s="73"/>
      <c r="D6" s="70"/>
      <c r="E6" s="70"/>
      <c r="F6" s="70"/>
      <c r="G6" s="67"/>
      <c r="H6" s="67"/>
    </row>
    <row r="7" spans="2:8" x14ac:dyDescent="0.2">
      <c r="B7" s="71" t="s">
        <v>145</v>
      </c>
      <c r="C7" s="72" t="s">
        <v>206</v>
      </c>
      <c r="D7" s="72"/>
      <c r="E7" s="67"/>
      <c r="F7" s="67"/>
      <c r="G7" s="74" t="s">
        <v>147</v>
      </c>
      <c r="H7" s="73" t="s">
        <v>207</v>
      </c>
    </row>
    <row r="8" spans="2:8" x14ac:dyDescent="0.2">
      <c r="B8" s="71" t="s">
        <v>148</v>
      </c>
      <c r="C8" s="72" t="s">
        <v>208</v>
      </c>
      <c r="D8" s="72"/>
      <c r="E8" s="67"/>
      <c r="F8" s="67"/>
      <c r="G8" s="74" t="s">
        <v>150</v>
      </c>
      <c r="H8" s="75">
        <v>46100</v>
      </c>
    </row>
    <row r="9" spans="2:8" x14ac:dyDescent="0.2">
      <c r="B9" s="76"/>
      <c r="C9" s="77"/>
      <c r="D9" s="78"/>
      <c r="E9" s="78"/>
      <c r="F9" s="78"/>
      <c r="G9" s="78"/>
      <c r="H9" s="78"/>
    </row>
    <row r="10" spans="2:8" ht="16" thickBot="1" x14ac:dyDescent="0.25">
      <c r="B10" s="67"/>
      <c r="C10" s="67"/>
      <c r="D10" s="67"/>
      <c r="E10" s="67"/>
      <c r="F10" s="67"/>
      <c r="G10" s="67"/>
      <c r="H10" s="67"/>
    </row>
    <row r="11" spans="2:8" ht="16" thickBot="1" x14ac:dyDescent="0.25">
      <c r="B11" s="79" t="s">
        <v>165</v>
      </c>
      <c r="C11" s="80" t="s">
        <v>166</v>
      </c>
      <c r="D11" s="80" t="s">
        <v>167</v>
      </c>
      <c r="E11" s="80" t="s">
        <v>209</v>
      </c>
      <c r="F11" s="80" t="s">
        <v>210</v>
      </c>
      <c r="G11" s="80" t="s">
        <v>211</v>
      </c>
      <c r="H11" s="80" t="s">
        <v>212</v>
      </c>
    </row>
    <row r="12" spans="2:8" ht="16" thickBot="1" x14ac:dyDescent="0.25">
      <c r="B12" s="474" t="s">
        <v>213</v>
      </c>
      <c r="C12" s="475"/>
      <c r="D12" s="475"/>
      <c r="E12" s="475"/>
      <c r="F12" s="475"/>
      <c r="G12" s="475"/>
      <c r="H12" s="475"/>
    </row>
    <row r="13" spans="2:8" ht="16" thickBot="1" x14ac:dyDescent="0.25">
      <c r="B13" s="81" t="s">
        <v>175</v>
      </c>
      <c r="C13" s="82"/>
      <c r="D13" s="82"/>
      <c r="E13" s="83">
        <v>0.4</v>
      </c>
      <c r="F13" s="83">
        <v>0.4</v>
      </c>
      <c r="G13" s="83">
        <v>0.2</v>
      </c>
      <c r="H13" s="83">
        <v>0</v>
      </c>
    </row>
    <row r="14" spans="2:8" x14ac:dyDescent="0.2">
      <c r="B14" s="81" t="s">
        <v>176</v>
      </c>
      <c r="C14" s="84">
        <v>2902704000</v>
      </c>
      <c r="D14" s="82"/>
      <c r="E14" s="85"/>
      <c r="F14" s="85"/>
      <c r="G14" s="85"/>
      <c r="H14" s="85"/>
    </row>
    <row r="15" spans="2:8" x14ac:dyDescent="0.2">
      <c r="B15" s="86" t="s">
        <v>214</v>
      </c>
      <c r="C15" s="87"/>
      <c r="D15" s="87"/>
      <c r="E15" s="88">
        <v>1161081600</v>
      </c>
      <c r="F15" s="88">
        <v>1161081600</v>
      </c>
      <c r="G15" s="88">
        <v>580540800</v>
      </c>
      <c r="H15" s="89" t="s">
        <v>215</v>
      </c>
    </row>
    <row r="16" spans="2:8" x14ac:dyDescent="0.2">
      <c r="B16" s="86" t="s">
        <v>178</v>
      </c>
      <c r="C16" s="87"/>
      <c r="D16" s="90">
        <v>0.4</v>
      </c>
      <c r="E16" s="88">
        <v>1161081600</v>
      </c>
      <c r="F16" s="91"/>
      <c r="G16" s="91"/>
      <c r="H16" s="91"/>
    </row>
    <row r="17" spans="2:8" ht="16" thickBot="1" x14ac:dyDescent="0.25">
      <c r="B17" s="476" t="s">
        <v>216</v>
      </c>
      <c r="C17" s="477"/>
      <c r="D17" s="477"/>
      <c r="E17" s="477"/>
      <c r="F17" s="477"/>
      <c r="G17" s="477"/>
      <c r="H17" s="477"/>
    </row>
    <row r="18" spans="2:8" x14ac:dyDescent="0.2">
      <c r="B18" s="92" t="s">
        <v>32</v>
      </c>
      <c r="C18" s="93">
        <v>150533985</v>
      </c>
      <c r="D18" s="93">
        <v>150533985</v>
      </c>
      <c r="E18" s="94">
        <v>95974715.25</v>
      </c>
      <c r="F18" s="94">
        <v>29378068.09</v>
      </c>
      <c r="G18" s="94">
        <v>25181201.219999999</v>
      </c>
      <c r="H18" s="95" t="s">
        <v>215</v>
      </c>
    </row>
    <row r="19" spans="2:8" x14ac:dyDescent="0.2">
      <c r="B19" s="96" t="s">
        <v>217</v>
      </c>
      <c r="C19" s="97"/>
      <c r="D19" s="98">
        <v>24640000</v>
      </c>
      <c r="E19" s="99">
        <v>8624000</v>
      </c>
      <c r="F19" s="99">
        <v>8624000</v>
      </c>
      <c r="G19" s="99">
        <v>7392000</v>
      </c>
      <c r="H19" s="91" t="s">
        <v>215</v>
      </c>
    </row>
    <row r="20" spans="2:8" x14ac:dyDescent="0.2">
      <c r="B20" s="96" t="s">
        <v>218</v>
      </c>
      <c r="C20" s="97"/>
      <c r="D20" s="100" t="s">
        <v>219</v>
      </c>
      <c r="E20" s="91" t="s">
        <v>215</v>
      </c>
      <c r="F20" s="91" t="s">
        <v>215</v>
      </c>
      <c r="G20" s="91" t="s">
        <v>215</v>
      </c>
      <c r="H20" s="91" t="s">
        <v>215</v>
      </c>
    </row>
    <row r="21" spans="2:8" x14ac:dyDescent="0.2">
      <c r="B21" s="96" t="s">
        <v>220</v>
      </c>
      <c r="C21" s="97"/>
      <c r="D21" s="98">
        <v>750834</v>
      </c>
      <c r="E21" s="99">
        <v>262792.03999999998</v>
      </c>
      <c r="F21" s="99">
        <v>262792.03999999998</v>
      </c>
      <c r="G21" s="99">
        <v>225250.32</v>
      </c>
      <c r="H21" s="91" t="s">
        <v>215</v>
      </c>
    </row>
    <row r="22" spans="2:8" x14ac:dyDescent="0.2">
      <c r="B22" s="96" t="s">
        <v>221</v>
      </c>
      <c r="C22" s="97"/>
      <c r="D22" s="100" t="s">
        <v>219</v>
      </c>
      <c r="E22" s="91" t="s">
        <v>215</v>
      </c>
      <c r="F22" s="91" t="s">
        <v>215</v>
      </c>
      <c r="G22" s="91" t="s">
        <v>215</v>
      </c>
      <c r="H22" s="91" t="s">
        <v>215</v>
      </c>
    </row>
    <row r="23" spans="2:8" x14ac:dyDescent="0.2">
      <c r="B23" s="96" t="s">
        <v>222</v>
      </c>
      <c r="C23" s="97"/>
      <c r="D23" s="100" t="s">
        <v>219</v>
      </c>
      <c r="E23" s="91" t="s">
        <v>215</v>
      </c>
      <c r="F23" s="91" t="s">
        <v>215</v>
      </c>
      <c r="G23" s="91" t="s">
        <v>215</v>
      </c>
      <c r="H23" s="91" t="s">
        <v>215</v>
      </c>
    </row>
    <row r="24" spans="2:8" x14ac:dyDescent="0.2">
      <c r="B24" s="96" t="s">
        <v>223</v>
      </c>
      <c r="C24" s="97"/>
      <c r="D24" s="100" t="s">
        <v>219</v>
      </c>
      <c r="E24" s="91" t="s">
        <v>215</v>
      </c>
      <c r="F24" s="91" t="s">
        <v>215</v>
      </c>
      <c r="G24" s="91" t="s">
        <v>215</v>
      </c>
      <c r="H24" s="91" t="s">
        <v>215</v>
      </c>
    </row>
    <row r="25" spans="2:8" x14ac:dyDescent="0.2">
      <c r="B25" s="96" t="s">
        <v>224</v>
      </c>
      <c r="C25" s="97"/>
      <c r="D25" s="98">
        <v>58546503</v>
      </c>
      <c r="E25" s="99">
        <v>20491276.050000001</v>
      </c>
      <c r="F25" s="99">
        <v>20491276.050000001</v>
      </c>
      <c r="G25" s="99">
        <v>17563950.899999999</v>
      </c>
      <c r="H25" s="91" t="s">
        <v>215</v>
      </c>
    </row>
    <row r="26" spans="2:8" x14ac:dyDescent="0.2">
      <c r="B26" s="96" t="s">
        <v>225</v>
      </c>
      <c r="C26" s="97"/>
      <c r="D26" s="98">
        <v>18295782</v>
      </c>
      <c r="E26" s="99">
        <v>18295782.190000001</v>
      </c>
      <c r="F26" s="91" t="s">
        <v>215</v>
      </c>
      <c r="G26" s="91" t="s">
        <v>215</v>
      </c>
      <c r="H26" s="91" t="s">
        <v>215</v>
      </c>
    </row>
    <row r="27" spans="2:8" x14ac:dyDescent="0.2">
      <c r="B27" s="96" t="s">
        <v>49</v>
      </c>
      <c r="C27" s="97"/>
      <c r="D27" s="98">
        <v>48300865</v>
      </c>
      <c r="E27" s="99">
        <v>48300864.979999997</v>
      </c>
      <c r="F27" s="91" t="s">
        <v>215</v>
      </c>
      <c r="G27" s="91" t="s">
        <v>215</v>
      </c>
      <c r="H27" s="91" t="s">
        <v>215</v>
      </c>
    </row>
    <row r="28" spans="2:8" x14ac:dyDescent="0.2">
      <c r="B28" s="96" t="s">
        <v>226</v>
      </c>
      <c r="C28" s="97"/>
      <c r="D28" s="100" t="s">
        <v>219</v>
      </c>
      <c r="E28" s="91" t="s">
        <v>215</v>
      </c>
      <c r="F28" s="91" t="s">
        <v>215</v>
      </c>
      <c r="G28" s="91" t="s">
        <v>215</v>
      </c>
      <c r="H28" s="91" t="s">
        <v>215</v>
      </c>
    </row>
    <row r="29" spans="2:8" x14ac:dyDescent="0.2">
      <c r="B29" s="101"/>
      <c r="C29" s="97"/>
      <c r="D29" s="100"/>
      <c r="E29" s="91"/>
      <c r="F29" s="91"/>
      <c r="G29" s="91"/>
      <c r="H29" s="91"/>
    </row>
    <row r="30" spans="2:8" x14ac:dyDescent="0.2">
      <c r="B30" s="102" t="s">
        <v>227</v>
      </c>
      <c r="C30" s="103">
        <v>2519593500</v>
      </c>
      <c r="D30" s="103">
        <v>2519593500</v>
      </c>
      <c r="E30" s="88">
        <v>881857725</v>
      </c>
      <c r="F30" s="88">
        <v>881857725</v>
      </c>
      <c r="G30" s="88">
        <v>755878050</v>
      </c>
      <c r="H30" s="89" t="s">
        <v>215</v>
      </c>
    </row>
    <row r="31" spans="2:8" x14ac:dyDescent="0.2">
      <c r="B31" s="96" t="s">
        <v>227</v>
      </c>
      <c r="C31" s="97"/>
      <c r="D31" s="98">
        <v>2519593500</v>
      </c>
      <c r="E31" s="99">
        <v>881857725</v>
      </c>
      <c r="F31" s="99">
        <v>881857725</v>
      </c>
      <c r="G31" s="99">
        <v>755878050</v>
      </c>
      <c r="H31" s="91" t="s">
        <v>215</v>
      </c>
    </row>
    <row r="32" spans="2:8" x14ac:dyDescent="0.2">
      <c r="B32" s="96"/>
      <c r="C32" s="97"/>
      <c r="D32" s="100"/>
      <c r="E32" s="91"/>
      <c r="F32" s="91"/>
      <c r="G32" s="91"/>
      <c r="H32" s="91"/>
    </row>
    <row r="33" spans="2:9" ht="16" thickBot="1" x14ac:dyDescent="0.25">
      <c r="B33" s="476" t="s">
        <v>199</v>
      </c>
      <c r="C33" s="477"/>
      <c r="D33" s="477"/>
      <c r="E33" s="477"/>
      <c r="F33" s="477"/>
      <c r="G33" s="477"/>
      <c r="H33" s="477"/>
    </row>
    <row r="34" spans="2:9" x14ac:dyDescent="0.2">
      <c r="B34" s="81" t="s">
        <v>200</v>
      </c>
      <c r="C34" s="82"/>
      <c r="D34" s="82"/>
      <c r="E34" s="85" t="s">
        <v>228</v>
      </c>
      <c r="F34" s="104">
        <v>1161081600</v>
      </c>
      <c r="G34" s="104">
        <v>1161081600</v>
      </c>
      <c r="H34" s="104">
        <v>580540800</v>
      </c>
    </row>
    <row r="35" spans="2:9" x14ac:dyDescent="0.2">
      <c r="B35" s="86" t="s">
        <v>201</v>
      </c>
      <c r="C35" s="87"/>
      <c r="D35" s="87"/>
      <c r="E35" s="91" t="s">
        <v>228</v>
      </c>
      <c r="F35" s="99">
        <v>-464432640</v>
      </c>
      <c r="G35" s="99">
        <v>-464432640</v>
      </c>
      <c r="H35" s="99">
        <v>-232216320</v>
      </c>
    </row>
    <row r="36" spans="2:9" x14ac:dyDescent="0.2">
      <c r="B36" s="86" t="s">
        <v>202</v>
      </c>
      <c r="C36" s="87"/>
      <c r="D36" s="87"/>
      <c r="E36" s="99">
        <v>-977832440.25</v>
      </c>
      <c r="F36" s="99">
        <v>-911235793.09000003</v>
      </c>
      <c r="G36" s="99">
        <v>-781059251.22000003</v>
      </c>
      <c r="H36" s="91" t="s">
        <v>228</v>
      </c>
    </row>
    <row r="37" spans="2:9" ht="16" thickBot="1" x14ac:dyDescent="0.25">
      <c r="B37" s="86" t="s">
        <v>203</v>
      </c>
      <c r="C37" s="87"/>
      <c r="D37" s="87"/>
      <c r="E37" s="88">
        <v>183249159.75</v>
      </c>
      <c r="F37" s="88">
        <v>-214586833.09</v>
      </c>
      <c r="G37" s="88">
        <v>-84410291.219999999</v>
      </c>
      <c r="H37" s="88">
        <v>348324480</v>
      </c>
    </row>
    <row r="38" spans="2:9" ht="27" thickBot="1" x14ac:dyDescent="0.25">
      <c r="B38" s="86" t="s">
        <v>204</v>
      </c>
      <c r="C38" s="87"/>
      <c r="D38" s="87"/>
      <c r="E38" s="88">
        <v>183249159.75</v>
      </c>
      <c r="F38" s="88">
        <v>-31337673.34</v>
      </c>
      <c r="G38" s="88">
        <v>-115747964.56</v>
      </c>
      <c r="H38" s="105">
        <v>232576515.44</v>
      </c>
      <c r="I38" s="106" t="s">
        <v>229</v>
      </c>
    </row>
    <row r="39" spans="2:9" ht="16" thickBot="1" x14ac:dyDescent="0.25">
      <c r="B39" s="107" t="s">
        <v>205</v>
      </c>
      <c r="C39" s="108">
        <v>-115747964.56</v>
      </c>
      <c r="D39" s="109"/>
      <c r="E39" s="110"/>
      <c r="F39" s="110"/>
      <c r="G39" s="110"/>
      <c r="H39" s="110"/>
      <c r="I39" s="66"/>
    </row>
    <row r="42" spans="2:9" x14ac:dyDescent="0.2">
      <c r="C42" s="150"/>
    </row>
    <row r="43" spans="2:9" x14ac:dyDescent="0.2">
      <c r="C43" s="150"/>
    </row>
  </sheetData>
  <mergeCells count="4">
    <mergeCell ref="B2:H2"/>
    <mergeCell ref="B12:H12"/>
    <mergeCell ref="B17:H17"/>
    <mergeCell ref="B33:H3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E2A7B-081D-4CB7-9391-2072F0A6E1C2}">
  <sheetPr>
    <tabColor theme="8" tint="0.79998168889431442"/>
  </sheetPr>
  <dimension ref="B5:AU109"/>
  <sheetViews>
    <sheetView topLeftCell="A4" zoomScale="90" zoomScaleNormal="90" workbookViewId="0">
      <pane xSplit="3" ySplit="11" topLeftCell="AJ24" activePane="bottomRight" state="frozen"/>
      <selection pane="topRight" activeCell="D4" sqref="D4"/>
      <selection pane="bottomLeft" activeCell="A8" sqref="A8"/>
      <selection pane="bottomRight" activeCell="AH32" sqref="AH32"/>
    </sheetView>
  </sheetViews>
  <sheetFormatPr baseColWidth="10" defaultColWidth="11.5" defaultRowHeight="12" customHeight="1" outlineLevelRow="1" x14ac:dyDescent="0.2"/>
  <cols>
    <col min="3" max="3" width="58.83203125" customWidth="1"/>
    <col min="4" max="8" width="24.5" customWidth="1"/>
    <col min="9" max="9" width="30.33203125" customWidth="1"/>
    <col min="10" max="10" width="31.83203125" customWidth="1"/>
    <col min="11" max="11" width="14.5" customWidth="1"/>
    <col min="12" max="12" width="16.5" customWidth="1"/>
    <col min="13" max="13" width="24.1640625" customWidth="1"/>
    <col min="14" max="14" width="19" customWidth="1"/>
    <col min="15" max="15" width="17.5" customWidth="1"/>
    <col min="16" max="16" width="21.1640625" customWidth="1"/>
    <col min="17" max="17" width="17.6640625" customWidth="1"/>
    <col min="19" max="19" width="16.5" bestFit="1" customWidth="1"/>
    <col min="20" max="20" width="20.83203125" customWidth="1"/>
    <col min="21" max="21" width="16.5" bestFit="1" customWidth="1"/>
    <col min="22" max="22" width="20" customWidth="1"/>
    <col min="23" max="23" width="16.5" bestFit="1" customWidth="1"/>
    <col min="24" max="24" width="18.5" customWidth="1"/>
    <col min="25" max="25" width="21.6640625" customWidth="1"/>
    <col min="26" max="26" width="16.5" bestFit="1" customWidth="1"/>
    <col min="27" max="27" width="21.6640625" customWidth="1"/>
    <col min="28" max="28" width="16.5" bestFit="1" customWidth="1"/>
    <col min="29" max="29" width="20.83203125" customWidth="1"/>
    <col min="30" max="30" width="25.33203125" customWidth="1"/>
    <col min="31" max="31" width="20.33203125" customWidth="1"/>
    <col min="32" max="32" width="20.6640625" customWidth="1"/>
    <col min="33" max="33" width="19.1640625" customWidth="1"/>
    <col min="34" max="34" width="17.83203125" customWidth="1"/>
    <col min="35" max="35" width="17.5" customWidth="1"/>
    <col min="37" max="37" width="24.6640625" customWidth="1"/>
    <col min="38" max="38" width="15.5" customWidth="1"/>
    <col min="39" max="39" width="18.83203125" customWidth="1"/>
    <col min="40" max="40" width="20.83203125" customWidth="1"/>
    <col min="41" max="41" width="16.5" customWidth="1"/>
    <col min="42" max="42" width="19.1640625" customWidth="1"/>
    <col min="43" max="44" width="16.5" customWidth="1"/>
    <col min="45" max="45" width="18.83203125" customWidth="1"/>
  </cols>
  <sheetData>
    <row r="5" spans="2:45" ht="12" customHeight="1" x14ac:dyDescent="0.2">
      <c r="J5" s="233">
        <f t="shared" ref="J5:N5" si="0">J12</f>
        <v>9</v>
      </c>
      <c r="K5" s="233">
        <f t="shared" si="0"/>
        <v>10</v>
      </c>
      <c r="L5" s="233">
        <f t="shared" si="0"/>
        <v>11</v>
      </c>
      <c r="M5" s="233">
        <f t="shared" si="0"/>
        <v>12</v>
      </c>
      <c r="N5" s="233">
        <f t="shared" si="0"/>
        <v>13</v>
      </c>
      <c r="O5" s="233">
        <f>O12</f>
        <v>14</v>
      </c>
      <c r="P5" s="233">
        <f t="shared" ref="P5:AS5" si="1">P12</f>
        <v>15</v>
      </c>
      <c r="Q5" s="233">
        <f t="shared" si="1"/>
        <v>16</v>
      </c>
      <c r="R5" s="233">
        <f t="shared" si="1"/>
        <v>17</v>
      </c>
      <c r="S5" s="233">
        <f t="shared" si="1"/>
        <v>18</v>
      </c>
      <c r="T5" s="233">
        <f t="shared" si="1"/>
        <v>19</v>
      </c>
      <c r="U5" s="233">
        <f t="shared" si="1"/>
        <v>20</v>
      </c>
      <c r="V5" s="233">
        <f t="shared" si="1"/>
        <v>21</v>
      </c>
      <c r="W5" s="233">
        <f t="shared" si="1"/>
        <v>22</v>
      </c>
      <c r="X5" s="233">
        <f t="shared" si="1"/>
        <v>23</v>
      </c>
      <c r="Y5" s="233">
        <f t="shared" si="1"/>
        <v>24</v>
      </c>
      <c r="Z5" s="233">
        <f t="shared" si="1"/>
        <v>25</v>
      </c>
      <c r="AA5" s="233">
        <f t="shared" si="1"/>
        <v>26</v>
      </c>
      <c r="AB5" s="233">
        <f t="shared" si="1"/>
        <v>27</v>
      </c>
      <c r="AC5" s="233">
        <f t="shared" si="1"/>
        <v>28</v>
      </c>
      <c r="AD5" s="233">
        <f t="shared" si="1"/>
        <v>29</v>
      </c>
      <c r="AE5" s="233">
        <f t="shared" si="1"/>
        <v>30</v>
      </c>
      <c r="AF5" s="233">
        <f t="shared" si="1"/>
        <v>31</v>
      </c>
      <c r="AG5" s="233">
        <f t="shared" si="1"/>
        <v>32</v>
      </c>
      <c r="AH5" s="233">
        <f t="shared" si="1"/>
        <v>33</v>
      </c>
      <c r="AI5" s="233">
        <f t="shared" si="1"/>
        <v>34</v>
      </c>
      <c r="AJ5" s="233">
        <f t="shared" si="1"/>
        <v>35</v>
      </c>
      <c r="AK5" s="233">
        <f t="shared" si="1"/>
        <v>36</v>
      </c>
      <c r="AL5" s="233">
        <f t="shared" si="1"/>
        <v>37</v>
      </c>
      <c r="AM5" s="233">
        <f t="shared" si="1"/>
        <v>38</v>
      </c>
      <c r="AN5" s="233">
        <f t="shared" si="1"/>
        <v>39</v>
      </c>
      <c r="AO5" s="233">
        <f t="shared" si="1"/>
        <v>40</v>
      </c>
      <c r="AP5" s="233">
        <f t="shared" si="1"/>
        <v>41</v>
      </c>
      <c r="AQ5" s="233">
        <f t="shared" si="1"/>
        <v>42</v>
      </c>
      <c r="AR5" s="233">
        <f t="shared" si="1"/>
        <v>43</v>
      </c>
      <c r="AS5" s="233">
        <f t="shared" si="1"/>
        <v>44</v>
      </c>
    </row>
    <row r="6" spans="2:45" ht="12" customHeight="1" thickBot="1" x14ac:dyDescent="0.25">
      <c r="I6" s="121" t="s">
        <v>6</v>
      </c>
      <c r="J6" s="121" t="s">
        <v>4</v>
      </c>
      <c r="K6" s="113" t="s">
        <v>7</v>
      </c>
      <c r="L6" s="113" t="s">
        <v>8</v>
      </c>
      <c r="M6" s="113" t="s">
        <v>9</v>
      </c>
      <c r="N6" s="113" t="s">
        <v>10</v>
      </c>
      <c r="O6" s="114" t="s">
        <v>11</v>
      </c>
      <c r="P6" s="113" t="s">
        <v>12</v>
      </c>
      <c r="Q6" s="113" t="s">
        <v>13</v>
      </c>
      <c r="R6" s="113" t="s">
        <v>14</v>
      </c>
      <c r="S6" s="113" t="s">
        <v>15</v>
      </c>
      <c r="T6" s="114" t="s">
        <v>16</v>
      </c>
      <c r="U6" s="113" t="s">
        <v>17</v>
      </c>
      <c r="V6" s="113" t="s">
        <v>18</v>
      </c>
      <c r="W6" s="113" t="s">
        <v>19</v>
      </c>
      <c r="X6" s="113" t="s">
        <v>20</v>
      </c>
      <c r="Y6" s="114" t="s">
        <v>21</v>
      </c>
      <c r="Z6" s="113" t="s">
        <v>22</v>
      </c>
      <c r="AA6" s="113" t="s">
        <v>23</v>
      </c>
      <c r="AB6" s="113" t="s">
        <v>24</v>
      </c>
      <c r="AC6" s="113" t="s">
        <v>25</v>
      </c>
      <c r="AD6" s="114" t="s">
        <v>26</v>
      </c>
      <c r="AE6" s="113" t="s">
        <v>27</v>
      </c>
      <c r="AF6" s="113" t="s">
        <v>28</v>
      </c>
      <c r="AG6" s="113" t="s">
        <v>29</v>
      </c>
      <c r="AH6" s="113" t="s">
        <v>30</v>
      </c>
      <c r="AI6" s="114" t="s">
        <v>31</v>
      </c>
      <c r="AJ6" s="113" t="s">
        <v>27</v>
      </c>
      <c r="AK6" s="113" t="s">
        <v>28</v>
      </c>
      <c r="AL6" s="113" t="s">
        <v>29</v>
      </c>
      <c r="AM6" s="113" t="s">
        <v>30</v>
      </c>
      <c r="AN6" s="114" t="s">
        <v>230</v>
      </c>
      <c r="AO6" s="371" t="s">
        <v>324</v>
      </c>
      <c r="AP6" s="371" t="s">
        <v>325</v>
      </c>
      <c r="AQ6" s="371" t="s">
        <v>326</v>
      </c>
      <c r="AR6" s="371" t="s">
        <v>327</v>
      </c>
      <c r="AS6" s="372" t="s">
        <v>328</v>
      </c>
    </row>
    <row r="7" spans="2:45" ht="12" customHeight="1" x14ac:dyDescent="0.2">
      <c r="C7" s="29" t="s">
        <v>175</v>
      </c>
      <c r="D7" s="49">
        <v>530000</v>
      </c>
      <c r="E7" s="49" t="s">
        <v>125</v>
      </c>
      <c r="F7" s="124">
        <v>4753.95</v>
      </c>
      <c r="G7" s="124">
        <f>+D7*F7</f>
        <v>2519593500</v>
      </c>
      <c r="K7" s="254"/>
      <c r="L7" s="254"/>
      <c r="M7" s="254"/>
      <c r="N7" s="254"/>
      <c r="O7" s="254">
        <f>SUM(K7:N7)</f>
        <v>0</v>
      </c>
      <c r="P7" s="254"/>
      <c r="Q7" s="254"/>
      <c r="R7" s="254"/>
      <c r="S7" s="254">
        <v>0</v>
      </c>
      <c r="T7" s="254">
        <f t="shared" ref="T7" si="2">SUM(P7:S7)</f>
        <v>0</v>
      </c>
      <c r="U7" s="254"/>
      <c r="V7" s="254"/>
      <c r="W7" s="254">
        <v>54616.82</v>
      </c>
      <c r="X7" s="254"/>
      <c r="Y7" s="254">
        <f t="shared" ref="Y7" si="3">SUM(U7:X7)</f>
        <v>54616.82</v>
      </c>
      <c r="Z7" s="254"/>
      <c r="AA7" s="254">
        <v>23957.46</v>
      </c>
      <c r="AB7" s="254"/>
      <c r="AC7" s="254">
        <v>25521.41</v>
      </c>
      <c r="AD7" s="328">
        <f t="shared" ref="AD7" si="4">SUM(Z7:AC7)</f>
        <v>49478.869999999995</v>
      </c>
      <c r="AE7" s="254"/>
      <c r="AF7" s="254">
        <v>80000</v>
      </c>
      <c r="AG7" s="254"/>
      <c r="AH7" s="254">
        <v>100000</v>
      </c>
      <c r="AI7" s="328">
        <f t="shared" ref="AI7" si="5">SUM(AE7:AH7)</f>
        <v>180000</v>
      </c>
      <c r="AJ7" s="254"/>
      <c r="AK7" s="254">
        <v>31254</v>
      </c>
      <c r="AL7" s="254"/>
      <c r="AM7" s="254">
        <v>68746</v>
      </c>
      <c r="AN7" s="328">
        <f>SUM(AJ7:AM7)</f>
        <v>100000</v>
      </c>
      <c r="AO7" s="376"/>
      <c r="AP7" s="376">
        <v>145905</v>
      </c>
      <c r="AQ7" s="376"/>
      <c r="AR7" s="376"/>
      <c r="AS7" s="377">
        <f>SUM(AO7:AR7)</f>
        <v>145905</v>
      </c>
    </row>
    <row r="8" spans="2:45" ht="12" customHeight="1" x14ac:dyDescent="0.2">
      <c r="I8" s="187">
        <f>(O7+T7+Y7+AD7+AI7)*J8</f>
        <v>1569060495.8700001</v>
      </c>
      <c r="J8" s="327">
        <v>5523</v>
      </c>
      <c r="M8" s="329">
        <v>870811200</v>
      </c>
      <c r="O8" s="33">
        <f>M8</f>
        <v>870811200</v>
      </c>
      <c r="T8" s="33">
        <f>$J$8*T7</f>
        <v>0</v>
      </c>
      <c r="U8" s="33">
        <f t="shared" ref="U8:AN8" si="6">$J$8*U7</f>
        <v>0</v>
      </c>
      <c r="V8" s="33">
        <f t="shared" si="6"/>
        <v>0</v>
      </c>
      <c r="W8" s="33">
        <f t="shared" si="6"/>
        <v>301648696.86000001</v>
      </c>
      <c r="X8" s="33">
        <f t="shared" si="6"/>
        <v>0</v>
      </c>
      <c r="Y8" s="33">
        <f t="shared" si="6"/>
        <v>301648696.86000001</v>
      </c>
      <c r="Z8" s="33">
        <f t="shared" si="6"/>
        <v>0</v>
      </c>
      <c r="AA8" s="33">
        <f t="shared" si="6"/>
        <v>132317051.58</v>
      </c>
      <c r="AB8" s="33">
        <f t="shared" si="6"/>
        <v>0</v>
      </c>
      <c r="AC8" s="33">
        <f t="shared" si="6"/>
        <v>140954747.43000001</v>
      </c>
      <c r="AD8" s="33">
        <f t="shared" si="6"/>
        <v>273271799.00999999</v>
      </c>
      <c r="AE8" s="33">
        <f t="shared" si="6"/>
        <v>0</v>
      </c>
      <c r="AF8" s="33">
        <f t="shared" si="6"/>
        <v>441840000</v>
      </c>
      <c r="AG8" s="33">
        <f t="shared" si="6"/>
        <v>0</v>
      </c>
      <c r="AH8" s="33">
        <f t="shared" si="6"/>
        <v>552300000</v>
      </c>
      <c r="AI8" s="33">
        <f t="shared" si="6"/>
        <v>994140000</v>
      </c>
      <c r="AJ8" s="33">
        <f t="shared" si="6"/>
        <v>0</v>
      </c>
      <c r="AK8" s="33">
        <f t="shared" si="6"/>
        <v>172615842</v>
      </c>
      <c r="AL8" s="33">
        <f t="shared" si="6"/>
        <v>0</v>
      </c>
      <c r="AM8" s="33">
        <f t="shared" si="6"/>
        <v>379684158</v>
      </c>
      <c r="AN8" s="33">
        <f t="shared" si="6"/>
        <v>552300000</v>
      </c>
      <c r="AO8" s="33">
        <f>$J$8*AO7</f>
        <v>0</v>
      </c>
      <c r="AP8" s="33">
        <f>$J$8*AP7</f>
        <v>805833315</v>
      </c>
      <c r="AQ8" s="33">
        <f>$J$8*AQ7</f>
        <v>0</v>
      </c>
      <c r="AR8" s="33">
        <f>$J$8*AR7</f>
        <v>0</v>
      </c>
      <c r="AS8" s="33">
        <f>$J$8*AS7</f>
        <v>805833315</v>
      </c>
    </row>
    <row r="12" spans="2:45" ht="12" customHeight="1" x14ac:dyDescent="0.2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  <c r="V12">
        <v>21</v>
      </c>
      <c r="W12">
        <v>22</v>
      </c>
      <c r="X12">
        <v>23</v>
      </c>
      <c r="Y12">
        <v>24</v>
      </c>
      <c r="Z12">
        <v>25</v>
      </c>
      <c r="AA12">
        <v>26</v>
      </c>
      <c r="AB12">
        <v>27</v>
      </c>
      <c r="AC12">
        <v>28</v>
      </c>
      <c r="AD12">
        <v>29</v>
      </c>
      <c r="AE12">
        <v>30</v>
      </c>
      <c r="AF12">
        <v>31</v>
      </c>
      <c r="AG12">
        <v>32</v>
      </c>
      <c r="AH12">
        <v>33</v>
      </c>
      <c r="AI12">
        <v>34</v>
      </c>
      <c r="AJ12">
        <v>35</v>
      </c>
      <c r="AK12">
        <v>36</v>
      </c>
      <c r="AL12">
        <v>37</v>
      </c>
      <c r="AM12">
        <v>38</v>
      </c>
      <c r="AN12">
        <v>39</v>
      </c>
      <c r="AO12">
        <v>40</v>
      </c>
      <c r="AP12">
        <v>41</v>
      </c>
      <c r="AQ12">
        <v>42</v>
      </c>
      <c r="AR12">
        <v>43</v>
      </c>
      <c r="AS12">
        <v>44</v>
      </c>
    </row>
    <row r="13" spans="2:45" ht="12" customHeight="1" x14ac:dyDescent="0.2">
      <c r="B13" s="36" t="s">
        <v>0</v>
      </c>
      <c r="C13" s="36" t="s">
        <v>1</v>
      </c>
      <c r="D13" s="37" t="s">
        <v>2</v>
      </c>
      <c r="E13" s="37" t="s">
        <v>3</v>
      </c>
      <c r="F13" s="120" t="s">
        <v>4</v>
      </c>
      <c r="G13" s="120" t="s">
        <v>5</v>
      </c>
      <c r="I13" s="121" t="s">
        <v>6</v>
      </c>
      <c r="J13" s="121" t="s">
        <v>4</v>
      </c>
      <c r="K13" s="113" t="s">
        <v>7</v>
      </c>
      <c r="L13" s="113" t="s">
        <v>8</v>
      </c>
      <c r="M13" s="113" t="s">
        <v>9</v>
      </c>
      <c r="N13" s="113" t="s">
        <v>10</v>
      </c>
      <c r="O13" s="114" t="s">
        <v>11</v>
      </c>
      <c r="P13" s="113" t="s">
        <v>12</v>
      </c>
      <c r="Q13" s="113" t="s">
        <v>13</v>
      </c>
      <c r="R13" s="113" t="s">
        <v>14</v>
      </c>
      <c r="S13" s="113" t="s">
        <v>15</v>
      </c>
      <c r="T13" s="114" t="s">
        <v>16</v>
      </c>
      <c r="U13" s="113" t="s">
        <v>17</v>
      </c>
      <c r="V13" s="113" t="s">
        <v>18</v>
      </c>
      <c r="W13" s="113" t="s">
        <v>19</v>
      </c>
      <c r="X13" s="113" t="s">
        <v>20</v>
      </c>
      <c r="Y13" s="114" t="s">
        <v>21</v>
      </c>
      <c r="Z13" s="113" t="s">
        <v>22</v>
      </c>
      <c r="AA13" s="113" t="s">
        <v>23</v>
      </c>
      <c r="AB13" s="113" t="s">
        <v>24</v>
      </c>
      <c r="AC13" s="113" t="s">
        <v>25</v>
      </c>
      <c r="AD13" s="114" t="s">
        <v>26</v>
      </c>
      <c r="AE13" s="113" t="s">
        <v>27</v>
      </c>
      <c r="AF13" s="113" t="s">
        <v>28</v>
      </c>
      <c r="AG13" s="113" t="s">
        <v>29</v>
      </c>
      <c r="AH13" s="113" t="s">
        <v>30</v>
      </c>
      <c r="AI13" s="114" t="s">
        <v>31</v>
      </c>
      <c r="AJ13" s="113" t="s">
        <v>27</v>
      </c>
      <c r="AK13" s="113" t="s">
        <v>28</v>
      </c>
      <c r="AL13" s="113" t="s">
        <v>29</v>
      </c>
      <c r="AM13" s="113" t="s">
        <v>30</v>
      </c>
      <c r="AN13" s="114" t="s">
        <v>230</v>
      </c>
      <c r="AO13" s="113" t="s">
        <v>27</v>
      </c>
      <c r="AP13" s="113" t="s">
        <v>28</v>
      </c>
      <c r="AQ13" s="113" t="s">
        <v>29</v>
      </c>
      <c r="AR13" s="113" t="s">
        <v>30</v>
      </c>
      <c r="AS13" s="114" t="s">
        <v>329</v>
      </c>
    </row>
    <row r="14" spans="2:45" ht="12" customHeight="1" x14ac:dyDescent="0.2">
      <c r="B14" s="41">
        <v>1</v>
      </c>
      <c r="C14" s="122" t="s">
        <v>32</v>
      </c>
      <c r="D14" s="122"/>
      <c r="E14" s="122"/>
      <c r="F14" s="122"/>
      <c r="G14" s="122">
        <f>SUM(G15,G22,G26,G29,G39)</f>
        <v>150533984.5625</v>
      </c>
      <c r="I14" s="180">
        <f t="shared" ref="I14:AH14" si="7">SUM(I15,I22,I26,I29,I39)</f>
        <v>99465371</v>
      </c>
      <c r="J14" s="180">
        <f t="shared" si="7"/>
        <v>123876289</v>
      </c>
      <c r="K14" s="180">
        <f t="shared" si="7"/>
        <v>0</v>
      </c>
      <c r="L14" s="180">
        <f t="shared" si="7"/>
        <v>0</v>
      </c>
      <c r="M14" s="180">
        <f t="shared" si="7"/>
        <v>64463869</v>
      </c>
      <c r="N14" s="180">
        <f t="shared" si="7"/>
        <v>3097443</v>
      </c>
      <c r="O14" s="180">
        <f t="shared" si="7"/>
        <v>67561312</v>
      </c>
      <c r="P14" s="180">
        <f t="shared" si="7"/>
        <v>0</v>
      </c>
      <c r="Q14" s="180">
        <f t="shared" si="7"/>
        <v>0</v>
      </c>
      <c r="R14" s="180">
        <f t="shared" si="7"/>
        <v>0</v>
      </c>
      <c r="S14" s="180">
        <f t="shared" si="7"/>
        <v>10365382</v>
      </c>
      <c r="T14" s="180">
        <f t="shared" ref="T14" si="8">SUM(T15,T22,T26,T29,T39)</f>
        <v>10365382</v>
      </c>
      <c r="U14" s="180">
        <f t="shared" si="7"/>
        <v>0</v>
      </c>
      <c r="V14" s="180">
        <f t="shared" si="7"/>
        <v>0</v>
      </c>
      <c r="W14" s="180">
        <f t="shared" si="7"/>
        <v>0</v>
      </c>
      <c r="X14" s="180">
        <f t="shared" si="7"/>
        <v>10365382</v>
      </c>
      <c r="Y14" s="180">
        <f t="shared" ref="Y14" si="9">SUM(Y15,Y22,Y26,Y29,Y39)</f>
        <v>10365382</v>
      </c>
      <c r="Z14" s="180">
        <f t="shared" si="7"/>
        <v>0</v>
      </c>
      <c r="AA14" s="180">
        <f t="shared" si="7"/>
        <v>0</v>
      </c>
      <c r="AB14" s="180">
        <f t="shared" si="7"/>
        <v>0</v>
      </c>
      <c r="AC14" s="180">
        <f t="shared" si="7"/>
        <v>3450000</v>
      </c>
      <c r="AD14" s="180">
        <f t="shared" ref="AD14" si="10">SUM(AD15,AD22,AD26,AD29,AD39)</f>
        <v>3450000</v>
      </c>
      <c r="AE14" s="180">
        <f t="shared" si="7"/>
        <v>0</v>
      </c>
      <c r="AF14" s="180">
        <f t="shared" si="7"/>
        <v>0</v>
      </c>
      <c r="AG14" s="180">
        <f t="shared" si="7"/>
        <v>0</v>
      </c>
      <c r="AH14" s="180">
        <f t="shared" si="7"/>
        <v>3450000</v>
      </c>
      <c r="AI14" s="180">
        <f t="shared" ref="AI14:AM14" si="11">SUM(AI15,AI22,AI26,AI29,AI39)</f>
        <v>3450000</v>
      </c>
      <c r="AJ14" s="180">
        <f t="shared" si="11"/>
        <v>0</v>
      </c>
      <c r="AK14" s="180">
        <f t="shared" si="11"/>
        <v>0</v>
      </c>
      <c r="AL14" s="180">
        <f t="shared" si="11"/>
        <v>0</v>
      </c>
      <c r="AM14" s="180">
        <f t="shared" si="11"/>
        <v>4273295</v>
      </c>
      <c r="AN14" s="180">
        <f t="shared" ref="AN14:AR14" si="12">SUM(AN15,AN22,AN26,AN29,AN39)</f>
        <v>4273295</v>
      </c>
      <c r="AO14" s="180">
        <f t="shared" si="12"/>
        <v>0</v>
      </c>
      <c r="AP14" s="180">
        <f t="shared" si="12"/>
        <v>48300864.980000004</v>
      </c>
      <c r="AQ14" s="180">
        <f t="shared" si="12"/>
        <v>0</v>
      </c>
      <c r="AR14" s="180">
        <f t="shared" si="12"/>
        <v>11807680</v>
      </c>
      <c r="AS14" s="180">
        <f t="shared" ref="AS14" si="13">SUM(AS15,AS22,AS26,AS29,AS39)</f>
        <v>60108544.980000004</v>
      </c>
    </row>
    <row r="15" spans="2:45" ht="12" customHeight="1" x14ac:dyDescent="0.2">
      <c r="B15" s="51" t="s">
        <v>33</v>
      </c>
      <c r="C15" s="52" t="s">
        <v>34</v>
      </c>
      <c r="D15" s="123">
        <f t="shared" ref="D15:F15" si="14">SUM(D16:D21)</f>
        <v>6</v>
      </c>
      <c r="E15" s="123">
        <f t="shared" si="14"/>
        <v>0</v>
      </c>
      <c r="F15" s="123">
        <f t="shared" si="14"/>
        <v>18295782.187500004</v>
      </c>
      <c r="G15" s="123">
        <f>SUM(G16:G21)</f>
        <v>18295782.187500004</v>
      </c>
      <c r="I15" s="184">
        <f>SUM(I16:I21)</f>
        <v>5917366</v>
      </c>
      <c r="J15" s="184">
        <f t="shared" ref="J15" si="15">SUM(J16:J21)</f>
        <v>5917366</v>
      </c>
      <c r="K15" s="184">
        <f t="shared" ref="K15" si="16">SUM(K16:K21)</f>
        <v>0</v>
      </c>
      <c r="L15" s="184">
        <f t="shared" ref="L15" si="17">SUM(L16:L21)</f>
        <v>0</v>
      </c>
      <c r="M15" s="184">
        <f t="shared" ref="M15" si="18">SUM(M16:M21)</f>
        <v>5917366</v>
      </c>
      <c r="N15" s="184">
        <f t="shared" ref="N15" si="19">SUM(N16:N21)</f>
        <v>0</v>
      </c>
      <c r="O15" s="184">
        <f t="shared" ref="O15" si="20">SUM(O16:O21)</f>
        <v>5917366</v>
      </c>
      <c r="P15" s="184">
        <f t="shared" ref="P15" si="21">SUM(P16:P21)</f>
        <v>0</v>
      </c>
      <c r="Q15" s="184">
        <f t="shared" ref="Q15" si="22">SUM(Q16:Q21)</f>
        <v>0</v>
      </c>
      <c r="R15" s="184">
        <f t="shared" ref="R15" si="23">SUM(R16:R21)</f>
        <v>0</v>
      </c>
      <c r="S15" s="184">
        <f t="shared" ref="S15:T15" si="24">SUM(S16:S21)</f>
        <v>0</v>
      </c>
      <c r="T15" s="184">
        <f t="shared" si="24"/>
        <v>0</v>
      </c>
      <c r="U15" s="184">
        <f t="shared" ref="U15" si="25">SUM(U16:U21)</f>
        <v>0</v>
      </c>
      <c r="V15" s="184">
        <f t="shared" ref="V15" si="26">SUM(V16:V21)</f>
        <v>0</v>
      </c>
      <c r="W15" s="184">
        <f t="shared" ref="W15" si="27">SUM(W16:W21)</f>
        <v>0</v>
      </c>
      <c r="X15" s="184">
        <f t="shared" ref="X15:Y15" si="28">SUM(X16:X21)</f>
        <v>0</v>
      </c>
      <c r="Y15" s="184">
        <f t="shared" si="28"/>
        <v>0</v>
      </c>
      <c r="Z15" s="184">
        <f t="shared" ref="Z15" si="29">SUM(Z16:Z21)</f>
        <v>0</v>
      </c>
      <c r="AA15" s="184">
        <f t="shared" ref="AA15" si="30">SUM(AA16:AA21)</f>
        <v>0</v>
      </c>
      <c r="AB15" s="184">
        <f t="shared" ref="AB15" si="31">SUM(AB16:AB21)</f>
        <v>0</v>
      </c>
      <c r="AC15" s="184">
        <f t="shared" ref="AC15:AD15" si="32">SUM(AC16:AC21)</f>
        <v>0</v>
      </c>
      <c r="AD15" s="184">
        <f t="shared" si="32"/>
        <v>0</v>
      </c>
      <c r="AE15" s="184">
        <f t="shared" ref="AE15" si="33">SUM(AE16:AE21)</f>
        <v>0</v>
      </c>
      <c r="AF15" s="184">
        <f t="shared" ref="AF15" si="34">SUM(AF16:AF21)</f>
        <v>0</v>
      </c>
      <c r="AG15" s="184">
        <f t="shared" ref="AG15" si="35">SUM(AG16:AG21)</f>
        <v>0</v>
      </c>
      <c r="AH15" s="184">
        <f t="shared" ref="AH15:AL15" si="36">SUM(AH16:AH21)</f>
        <v>0</v>
      </c>
      <c r="AI15" s="184">
        <f t="shared" si="36"/>
        <v>0</v>
      </c>
      <c r="AJ15" s="184">
        <f t="shared" si="36"/>
        <v>0</v>
      </c>
      <c r="AK15" s="184">
        <f t="shared" si="36"/>
        <v>0</v>
      </c>
      <c r="AL15" s="184">
        <f t="shared" si="36"/>
        <v>0</v>
      </c>
      <c r="AM15" s="184">
        <f t="shared" ref="AM15:AQ15" si="37">SUM(AM16:AM21)</f>
        <v>0</v>
      </c>
      <c r="AN15" s="184">
        <f t="shared" si="37"/>
        <v>0</v>
      </c>
      <c r="AO15" s="184">
        <f t="shared" si="37"/>
        <v>0</v>
      </c>
      <c r="AP15" s="184">
        <f t="shared" si="37"/>
        <v>0</v>
      </c>
      <c r="AQ15" s="184">
        <f t="shared" si="37"/>
        <v>0</v>
      </c>
      <c r="AR15" s="184">
        <f t="shared" ref="AR15:AS15" si="38">SUM(AR16:AR21)</f>
        <v>7534385</v>
      </c>
      <c r="AS15" s="184">
        <f t="shared" si="38"/>
        <v>7534385</v>
      </c>
    </row>
    <row r="16" spans="2:45" ht="12" customHeight="1" outlineLevel="1" x14ac:dyDescent="0.2">
      <c r="B16" s="47" t="s">
        <v>35</v>
      </c>
      <c r="C16" s="48" t="s">
        <v>36</v>
      </c>
      <c r="D16" s="49">
        <v>1</v>
      </c>
      <c r="E16" s="49" t="s">
        <v>37</v>
      </c>
      <c r="F16" s="124">
        <v>3512790.18</v>
      </c>
      <c r="G16" s="124">
        <f>+D16*F16</f>
        <v>3512790.18</v>
      </c>
      <c r="I16" s="135">
        <f>(O16+T16+Y16+AD16+AI16+AN16)</f>
        <v>516713.12</v>
      </c>
      <c r="J16" s="187">
        <v>516713.12</v>
      </c>
      <c r="K16" s="187"/>
      <c r="L16" s="187"/>
      <c r="M16" s="187">
        <v>516713.12</v>
      </c>
      <c r="N16" s="187"/>
      <c r="O16" s="187">
        <f>SUM(K16:N16)</f>
        <v>516713.12</v>
      </c>
      <c r="P16" s="187"/>
      <c r="Q16" s="187"/>
      <c r="R16" s="187"/>
      <c r="S16" s="187"/>
      <c r="T16" s="187">
        <f>SUM(P16:S16)</f>
        <v>0</v>
      </c>
      <c r="U16" s="187"/>
      <c r="V16" s="187"/>
      <c r="W16" s="187"/>
      <c r="X16" s="187"/>
      <c r="Y16" s="187">
        <f>SUM(U16:X16)</f>
        <v>0</v>
      </c>
      <c r="Z16" s="187"/>
      <c r="AA16" s="187"/>
      <c r="AB16" s="187"/>
      <c r="AC16" s="187"/>
      <c r="AD16" s="187">
        <f>SUM(Z16:AC16)</f>
        <v>0</v>
      </c>
      <c r="AE16" s="187"/>
      <c r="AF16" s="187"/>
      <c r="AG16" s="187"/>
      <c r="AH16" s="187"/>
      <c r="AI16" s="187">
        <f>SUM(AE16:AH16)</f>
        <v>0</v>
      </c>
      <c r="AJ16" s="187"/>
      <c r="AK16" s="187"/>
      <c r="AL16" s="187"/>
      <c r="AM16" s="187"/>
      <c r="AN16" s="187">
        <f>SUM(AJ16:AM16)</f>
        <v>0</v>
      </c>
      <c r="AO16" s="187"/>
      <c r="AP16" s="187"/>
      <c r="AQ16" s="187"/>
      <c r="AR16" s="187">
        <v>1328123</v>
      </c>
      <c r="AS16" s="187">
        <f>SUM(AO16:AR16)</f>
        <v>1328123</v>
      </c>
    </row>
    <row r="17" spans="2:45" ht="12" customHeight="1" outlineLevel="1" x14ac:dyDescent="0.2">
      <c r="B17" s="47" t="s">
        <v>38</v>
      </c>
      <c r="C17" s="48" t="s">
        <v>39</v>
      </c>
      <c r="D17" s="49">
        <v>1</v>
      </c>
      <c r="E17" s="49" t="s">
        <v>37</v>
      </c>
      <c r="F17" s="124">
        <v>3073691.4075000002</v>
      </c>
      <c r="G17" s="124">
        <f t="shared" ref="G17:G21" si="39">+D17*F17</f>
        <v>3073691.4075000002</v>
      </c>
      <c r="I17" s="135">
        <f t="shared" ref="I17:I40" si="40">(O17+T17+Y17+AD17+AI17+AN17)</f>
        <v>465741.43</v>
      </c>
      <c r="J17" s="187">
        <v>465741.43</v>
      </c>
      <c r="K17" s="187"/>
      <c r="L17" s="187"/>
      <c r="M17" s="187">
        <v>465741.43</v>
      </c>
      <c r="N17" s="187"/>
      <c r="O17" s="187">
        <f t="shared" ref="O17:O21" si="41">SUM(K17:N17)</f>
        <v>465741.43</v>
      </c>
      <c r="P17" s="187"/>
      <c r="Q17" s="187"/>
      <c r="R17" s="187"/>
      <c r="S17" s="187"/>
      <c r="T17" s="187">
        <f t="shared" ref="T17:T21" si="42">SUM(P17:S17)</f>
        <v>0</v>
      </c>
      <c r="U17" s="187"/>
      <c r="V17" s="187"/>
      <c r="W17" s="187"/>
      <c r="X17" s="187"/>
      <c r="Y17" s="187">
        <f t="shared" ref="Y17:Y21" si="43">SUM(U17:X17)</f>
        <v>0</v>
      </c>
      <c r="Z17" s="187"/>
      <c r="AA17" s="187"/>
      <c r="AB17" s="187"/>
      <c r="AC17" s="187"/>
      <c r="AD17" s="187">
        <f t="shared" ref="AD17:AD21" si="44">SUM(Z17:AC17)</f>
        <v>0</v>
      </c>
      <c r="AE17" s="187"/>
      <c r="AF17" s="187"/>
      <c r="AG17" s="187"/>
      <c r="AH17" s="187"/>
      <c r="AI17" s="187">
        <f t="shared" ref="AI17:AI21" si="45">SUM(AE17:AH17)</f>
        <v>0</v>
      </c>
      <c r="AJ17" s="187"/>
      <c r="AK17" s="187"/>
      <c r="AL17" s="187"/>
      <c r="AM17" s="187"/>
      <c r="AN17" s="187">
        <f t="shared" ref="AN17:AN21" si="46">SUM(AJ17:AM17)</f>
        <v>0</v>
      </c>
      <c r="AO17" s="187"/>
      <c r="AP17" s="187"/>
      <c r="AQ17" s="187"/>
      <c r="AR17" s="187">
        <v>444632</v>
      </c>
      <c r="AS17" s="187">
        <f t="shared" ref="AS17:AS21" si="47">SUM(AO17:AR17)</f>
        <v>444632</v>
      </c>
    </row>
    <row r="18" spans="2:45" ht="12" customHeight="1" outlineLevel="1" x14ac:dyDescent="0.2">
      <c r="B18" s="47" t="s">
        <v>40</v>
      </c>
      <c r="C18" s="48" t="s">
        <v>41</v>
      </c>
      <c r="D18" s="49">
        <v>1</v>
      </c>
      <c r="E18" s="49" t="s">
        <v>37</v>
      </c>
      <c r="F18" s="124">
        <v>2049127.6049999997</v>
      </c>
      <c r="G18" s="124">
        <f t="shared" si="39"/>
        <v>2049127.6049999997</v>
      </c>
      <c r="I18" s="135">
        <f t="shared" si="40"/>
        <v>349306.07</v>
      </c>
      <c r="J18" s="187">
        <v>349306.07</v>
      </c>
      <c r="K18" s="187"/>
      <c r="L18" s="187"/>
      <c r="M18" s="187">
        <v>349306.07</v>
      </c>
      <c r="N18" s="187"/>
      <c r="O18" s="187">
        <f t="shared" si="41"/>
        <v>349306.07</v>
      </c>
      <c r="P18" s="187"/>
      <c r="Q18" s="187"/>
      <c r="R18" s="187"/>
      <c r="S18" s="187"/>
      <c r="T18" s="187">
        <f t="shared" si="42"/>
        <v>0</v>
      </c>
      <c r="U18" s="187"/>
      <c r="V18" s="187"/>
      <c r="W18" s="187"/>
      <c r="X18" s="187"/>
      <c r="Y18" s="187">
        <f t="shared" si="43"/>
        <v>0</v>
      </c>
      <c r="Z18" s="187"/>
      <c r="AA18" s="187"/>
      <c r="AB18" s="187"/>
      <c r="AC18" s="187"/>
      <c r="AD18" s="187">
        <f t="shared" si="44"/>
        <v>0</v>
      </c>
      <c r="AE18" s="187"/>
      <c r="AF18" s="187"/>
      <c r="AG18" s="187"/>
      <c r="AH18" s="187"/>
      <c r="AI18" s="187">
        <f t="shared" si="45"/>
        <v>0</v>
      </c>
      <c r="AJ18" s="187"/>
      <c r="AK18" s="187"/>
      <c r="AL18" s="187"/>
      <c r="AM18" s="187"/>
      <c r="AN18" s="187">
        <f t="shared" si="46"/>
        <v>0</v>
      </c>
      <c r="AO18" s="187"/>
      <c r="AP18" s="187"/>
      <c r="AQ18" s="187"/>
      <c r="AR18" s="187">
        <v>262737</v>
      </c>
      <c r="AS18" s="187">
        <f t="shared" si="47"/>
        <v>262737</v>
      </c>
    </row>
    <row r="19" spans="2:45" ht="12" customHeight="1" outlineLevel="1" x14ac:dyDescent="0.2">
      <c r="B19" s="47" t="s">
        <v>42</v>
      </c>
      <c r="C19" s="48" t="s">
        <v>43</v>
      </c>
      <c r="D19" s="49">
        <v>1</v>
      </c>
      <c r="E19" s="49" t="s">
        <v>37</v>
      </c>
      <c r="F19" s="124">
        <v>3073691.4075000002</v>
      </c>
      <c r="G19" s="124">
        <f t="shared" si="39"/>
        <v>3073691.4075000002</v>
      </c>
      <c r="I19" s="135">
        <f t="shared" si="40"/>
        <v>4184037.86</v>
      </c>
      <c r="J19" s="187">
        <v>4184037.86</v>
      </c>
      <c r="K19" s="187"/>
      <c r="L19" s="187"/>
      <c r="M19" s="187">
        <v>4184037.86</v>
      </c>
      <c r="N19" s="187"/>
      <c r="O19" s="187">
        <f t="shared" si="41"/>
        <v>4184037.86</v>
      </c>
      <c r="P19" s="187"/>
      <c r="Q19" s="187"/>
      <c r="R19" s="187"/>
      <c r="S19" s="187"/>
      <c r="T19" s="187">
        <f t="shared" si="42"/>
        <v>0</v>
      </c>
      <c r="U19" s="187"/>
      <c r="V19" s="187"/>
      <c r="W19" s="187"/>
      <c r="X19" s="187"/>
      <c r="Y19" s="187">
        <f t="shared" si="43"/>
        <v>0</v>
      </c>
      <c r="Z19" s="187"/>
      <c r="AA19" s="187"/>
      <c r="AB19" s="187"/>
      <c r="AC19" s="187"/>
      <c r="AD19" s="187">
        <f t="shared" si="44"/>
        <v>0</v>
      </c>
      <c r="AE19" s="187"/>
      <c r="AF19" s="187"/>
      <c r="AG19" s="187"/>
      <c r="AH19" s="187"/>
      <c r="AI19" s="187">
        <f t="shared" si="45"/>
        <v>0</v>
      </c>
      <c r="AJ19" s="187"/>
      <c r="AK19" s="187"/>
      <c r="AL19" s="187"/>
      <c r="AM19" s="187"/>
      <c r="AN19" s="187">
        <f t="shared" si="46"/>
        <v>0</v>
      </c>
      <c r="AO19" s="187"/>
      <c r="AP19" s="187"/>
      <c r="AQ19" s="187"/>
      <c r="AR19" s="187">
        <v>3695647</v>
      </c>
      <c r="AS19" s="187">
        <f t="shared" si="47"/>
        <v>3695647</v>
      </c>
    </row>
    <row r="20" spans="2:45" ht="12" customHeight="1" outlineLevel="1" x14ac:dyDescent="0.2">
      <c r="B20" s="47" t="s">
        <v>44</v>
      </c>
      <c r="C20" s="48" t="s">
        <v>45</v>
      </c>
      <c r="D20" s="49">
        <v>1</v>
      </c>
      <c r="E20" s="49" t="s">
        <v>37</v>
      </c>
      <c r="F20" s="124">
        <v>3073691.4075000002</v>
      </c>
      <c r="G20" s="124">
        <f t="shared" si="39"/>
        <v>3073691.4075000002</v>
      </c>
      <c r="I20" s="135">
        <f t="shared" si="40"/>
        <v>9282</v>
      </c>
      <c r="J20" s="187">
        <v>9282</v>
      </c>
      <c r="K20" s="187"/>
      <c r="L20" s="187"/>
      <c r="M20" s="187">
        <v>9282</v>
      </c>
      <c r="N20" s="187"/>
      <c r="O20" s="187">
        <f t="shared" si="41"/>
        <v>9282</v>
      </c>
      <c r="P20" s="187"/>
      <c r="Q20" s="187"/>
      <c r="R20" s="187"/>
      <c r="S20" s="187"/>
      <c r="T20" s="187">
        <f t="shared" si="42"/>
        <v>0</v>
      </c>
      <c r="U20" s="187"/>
      <c r="V20" s="187"/>
      <c r="W20" s="187"/>
      <c r="X20" s="187"/>
      <c r="Y20" s="187">
        <f t="shared" si="43"/>
        <v>0</v>
      </c>
      <c r="Z20" s="187"/>
      <c r="AA20" s="187"/>
      <c r="AB20" s="187"/>
      <c r="AC20" s="187"/>
      <c r="AD20" s="187">
        <f t="shared" si="44"/>
        <v>0</v>
      </c>
      <c r="AE20" s="187"/>
      <c r="AF20" s="187"/>
      <c r="AG20" s="187"/>
      <c r="AH20" s="187"/>
      <c r="AI20" s="187">
        <f t="shared" si="45"/>
        <v>0</v>
      </c>
      <c r="AJ20" s="187"/>
      <c r="AK20" s="187"/>
      <c r="AL20" s="187"/>
      <c r="AM20" s="187"/>
      <c r="AN20" s="187">
        <f t="shared" si="46"/>
        <v>0</v>
      </c>
      <c r="AO20" s="187"/>
      <c r="AP20" s="187"/>
      <c r="AQ20" s="187"/>
      <c r="AR20" s="187">
        <v>1212969</v>
      </c>
      <c r="AS20" s="187">
        <f t="shared" si="47"/>
        <v>1212969</v>
      </c>
    </row>
    <row r="21" spans="2:45" ht="12" customHeight="1" outlineLevel="1" x14ac:dyDescent="0.2">
      <c r="B21" s="47" t="s">
        <v>46</v>
      </c>
      <c r="C21" s="48" t="s">
        <v>47</v>
      </c>
      <c r="D21" s="49">
        <v>1</v>
      </c>
      <c r="E21" s="49" t="s">
        <v>37</v>
      </c>
      <c r="F21" s="124">
        <v>3512790.18</v>
      </c>
      <c r="G21" s="124">
        <f t="shared" si="39"/>
        <v>3512790.18</v>
      </c>
      <c r="I21" s="135">
        <f t="shared" si="40"/>
        <v>392285.52</v>
      </c>
      <c r="J21" s="187">
        <f>197018.52+195267</f>
        <v>392285.52</v>
      </c>
      <c r="K21" s="187"/>
      <c r="L21" s="187"/>
      <c r="M21" s="187">
        <f>197018.52+195267</f>
        <v>392285.52</v>
      </c>
      <c r="N21" s="187"/>
      <c r="O21" s="187">
        <f t="shared" si="41"/>
        <v>392285.52</v>
      </c>
      <c r="P21" s="187"/>
      <c r="Q21" s="187"/>
      <c r="R21" s="187"/>
      <c r="S21" s="187"/>
      <c r="T21" s="187">
        <f t="shared" si="42"/>
        <v>0</v>
      </c>
      <c r="U21" s="187"/>
      <c r="V21" s="187"/>
      <c r="W21" s="187"/>
      <c r="X21" s="187"/>
      <c r="Y21" s="187">
        <f t="shared" si="43"/>
        <v>0</v>
      </c>
      <c r="Z21" s="187"/>
      <c r="AA21" s="187"/>
      <c r="AB21" s="187"/>
      <c r="AC21" s="187"/>
      <c r="AD21" s="187">
        <f t="shared" si="44"/>
        <v>0</v>
      </c>
      <c r="AE21" s="187"/>
      <c r="AF21" s="187"/>
      <c r="AG21" s="187"/>
      <c r="AH21" s="187"/>
      <c r="AI21" s="187">
        <f t="shared" si="45"/>
        <v>0</v>
      </c>
      <c r="AJ21" s="187"/>
      <c r="AK21" s="187"/>
      <c r="AL21" s="187"/>
      <c r="AM21" s="187"/>
      <c r="AN21" s="187">
        <f t="shared" si="46"/>
        <v>0</v>
      </c>
      <c r="AO21" s="187"/>
      <c r="AP21" s="187"/>
      <c r="AQ21" s="187"/>
      <c r="AR21" s="187">
        <v>590277</v>
      </c>
      <c r="AS21" s="187">
        <f t="shared" si="47"/>
        <v>590277</v>
      </c>
    </row>
    <row r="22" spans="2:45" ht="12" customHeight="1" x14ac:dyDescent="0.2">
      <c r="B22" s="51" t="s">
        <v>48</v>
      </c>
      <c r="C22" s="52" t="s">
        <v>49</v>
      </c>
      <c r="D22" s="46"/>
      <c r="E22" s="46"/>
      <c r="F22" s="123"/>
      <c r="G22" s="123">
        <f>SUM(G23:G25)</f>
        <v>48300864.975000001</v>
      </c>
      <c r="I22" s="184">
        <f t="shared" ref="I22:AH22" si="48">SUM(I23:I25)</f>
        <v>0</v>
      </c>
      <c r="J22" s="184">
        <f t="shared" si="48"/>
        <v>48300863</v>
      </c>
      <c r="K22" s="184">
        <f t="shared" si="48"/>
        <v>0</v>
      </c>
      <c r="L22" s="184">
        <f t="shared" si="48"/>
        <v>0</v>
      </c>
      <c r="M22" s="184">
        <f t="shared" si="48"/>
        <v>0</v>
      </c>
      <c r="N22" s="184">
        <f t="shared" si="48"/>
        <v>0</v>
      </c>
      <c r="O22" s="184">
        <f t="shared" si="48"/>
        <v>0</v>
      </c>
      <c r="P22" s="184">
        <f t="shared" si="48"/>
        <v>0</v>
      </c>
      <c r="Q22" s="184">
        <f t="shared" si="48"/>
        <v>0</v>
      </c>
      <c r="R22" s="184">
        <f t="shared" si="48"/>
        <v>0</v>
      </c>
      <c r="S22" s="184">
        <f t="shared" si="48"/>
        <v>0</v>
      </c>
      <c r="T22" s="184">
        <f t="shared" ref="T22" si="49">SUM(T23:T25)</f>
        <v>0</v>
      </c>
      <c r="U22" s="184">
        <f t="shared" si="48"/>
        <v>0</v>
      </c>
      <c r="V22" s="184">
        <f t="shared" si="48"/>
        <v>0</v>
      </c>
      <c r="W22" s="184">
        <f t="shared" si="48"/>
        <v>0</v>
      </c>
      <c r="X22" s="184">
        <f t="shared" si="48"/>
        <v>0</v>
      </c>
      <c r="Y22" s="184">
        <f t="shared" ref="Y22" si="50">SUM(Y23:Y25)</f>
        <v>0</v>
      </c>
      <c r="Z22" s="184">
        <f t="shared" si="48"/>
        <v>0</v>
      </c>
      <c r="AA22" s="184">
        <f t="shared" si="48"/>
        <v>0</v>
      </c>
      <c r="AB22" s="184">
        <f t="shared" si="48"/>
        <v>0</v>
      </c>
      <c r="AC22" s="184">
        <f t="shared" si="48"/>
        <v>0</v>
      </c>
      <c r="AD22" s="184">
        <f t="shared" ref="AD22" si="51">SUM(AD23:AD25)</f>
        <v>0</v>
      </c>
      <c r="AE22" s="184">
        <f t="shared" si="48"/>
        <v>0</v>
      </c>
      <c r="AF22" s="184">
        <f t="shared" si="48"/>
        <v>0</v>
      </c>
      <c r="AG22" s="184">
        <f t="shared" si="48"/>
        <v>0</v>
      </c>
      <c r="AH22" s="184">
        <f t="shared" si="48"/>
        <v>0</v>
      </c>
      <c r="AI22" s="184">
        <f t="shared" ref="AI22:AM22" si="52">SUM(AI23:AI25)</f>
        <v>0</v>
      </c>
      <c r="AJ22" s="184">
        <f t="shared" si="52"/>
        <v>0</v>
      </c>
      <c r="AK22" s="184">
        <f t="shared" si="52"/>
        <v>0</v>
      </c>
      <c r="AL22" s="184">
        <f t="shared" si="52"/>
        <v>0</v>
      </c>
      <c r="AM22" s="184">
        <f t="shared" si="52"/>
        <v>0</v>
      </c>
      <c r="AN22" s="184">
        <f t="shared" ref="AN22:AR22" si="53">SUM(AN23:AN25)</f>
        <v>0</v>
      </c>
      <c r="AO22" s="184">
        <f t="shared" si="53"/>
        <v>0</v>
      </c>
      <c r="AP22" s="184">
        <f t="shared" si="53"/>
        <v>48300864.980000004</v>
      </c>
      <c r="AQ22" s="184">
        <f t="shared" si="53"/>
        <v>0</v>
      </c>
      <c r="AR22" s="184">
        <f t="shared" si="53"/>
        <v>0</v>
      </c>
      <c r="AS22" s="184">
        <f t="shared" ref="AS22" si="54">SUM(AS23:AS25)</f>
        <v>48300864.980000004</v>
      </c>
    </row>
    <row r="23" spans="2:45" ht="12" customHeight="1" outlineLevel="1" x14ac:dyDescent="0.2">
      <c r="B23" s="47" t="s">
        <v>50</v>
      </c>
      <c r="C23" s="48" t="s">
        <v>51</v>
      </c>
      <c r="D23" s="49">
        <v>1</v>
      </c>
      <c r="E23" s="49" t="s">
        <v>37</v>
      </c>
      <c r="F23" s="124">
        <v>7318312.875</v>
      </c>
      <c r="G23" s="124">
        <f t="shared" ref="G23:G25" si="55">+D23*F23</f>
        <v>7318312.875</v>
      </c>
      <c r="I23" s="135">
        <f t="shared" si="40"/>
        <v>0</v>
      </c>
      <c r="J23" s="187">
        <v>7318312</v>
      </c>
      <c r="K23" s="187"/>
      <c r="L23" s="187"/>
      <c r="M23" s="187"/>
      <c r="N23" s="187"/>
      <c r="O23" s="187">
        <f t="shared" ref="O23:O25" si="56">SUM(K23:N23)</f>
        <v>0</v>
      </c>
      <c r="P23" s="187"/>
      <c r="Q23" s="187"/>
      <c r="R23" s="187"/>
      <c r="S23" s="187"/>
      <c r="T23" s="187">
        <f t="shared" ref="T23:T25" si="57">SUM(P23:S23)</f>
        <v>0</v>
      </c>
      <c r="U23" s="187"/>
      <c r="V23" s="187"/>
      <c r="W23" s="187"/>
      <c r="X23" s="187"/>
      <c r="Y23" s="187">
        <f t="shared" ref="Y23:Y25" si="58">SUM(U23:X23)</f>
        <v>0</v>
      </c>
      <c r="Z23" s="187"/>
      <c r="AA23" s="187"/>
      <c r="AB23" s="187"/>
      <c r="AC23" s="187"/>
      <c r="AD23" s="187">
        <f t="shared" ref="AD23:AD25" si="59">SUM(Z23:AC23)</f>
        <v>0</v>
      </c>
      <c r="AE23" s="187"/>
      <c r="AF23" s="187"/>
      <c r="AG23" s="187"/>
      <c r="AH23" s="187"/>
      <c r="AI23" s="187">
        <f t="shared" ref="AI23:AI25" si="60">SUM(AE23:AH23)</f>
        <v>0</v>
      </c>
      <c r="AJ23" s="187"/>
      <c r="AK23" s="187"/>
      <c r="AL23" s="187"/>
      <c r="AM23" s="187"/>
      <c r="AN23" s="187">
        <f t="shared" ref="AN23:AN25" si="61">SUM(AJ23:AM23)</f>
        <v>0</v>
      </c>
      <c r="AO23" s="187"/>
      <c r="AP23" s="187">
        <v>7318312.8799999999</v>
      </c>
      <c r="AQ23" s="187"/>
      <c r="AR23" s="187"/>
      <c r="AS23" s="187">
        <f t="shared" ref="AS23:AS25" si="62">SUM(AO23:AR23)</f>
        <v>7318312.8799999999</v>
      </c>
    </row>
    <row r="24" spans="2:45" ht="12" customHeight="1" outlineLevel="1" x14ac:dyDescent="0.2">
      <c r="B24" s="47" t="s">
        <v>52</v>
      </c>
      <c r="C24" s="48" t="s">
        <v>53</v>
      </c>
      <c r="D24" s="49">
        <v>1</v>
      </c>
      <c r="E24" s="49" t="s">
        <v>37</v>
      </c>
      <c r="F24" s="124">
        <v>29273251.5</v>
      </c>
      <c r="G24" s="124">
        <f t="shared" si="55"/>
        <v>29273251.5</v>
      </c>
      <c r="I24" s="135">
        <f t="shared" si="40"/>
        <v>0</v>
      </c>
      <c r="J24" s="187">
        <v>29273251</v>
      </c>
      <c r="K24" s="187"/>
      <c r="L24" s="187"/>
      <c r="M24" s="187"/>
      <c r="N24" s="187"/>
      <c r="O24" s="187">
        <f t="shared" si="56"/>
        <v>0</v>
      </c>
      <c r="P24" s="187"/>
      <c r="Q24" s="187"/>
      <c r="R24" s="187"/>
      <c r="S24" s="187"/>
      <c r="T24" s="187">
        <f t="shared" si="57"/>
        <v>0</v>
      </c>
      <c r="U24" s="187"/>
      <c r="V24" s="187"/>
      <c r="W24" s="187"/>
      <c r="X24" s="187"/>
      <c r="Y24" s="187">
        <f t="shared" si="58"/>
        <v>0</v>
      </c>
      <c r="Z24" s="187"/>
      <c r="AA24" s="187"/>
      <c r="AB24" s="187"/>
      <c r="AC24" s="187"/>
      <c r="AD24" s="187">
        <f t="shared" si="59"/>
        <v>0</v>
      </c>
      <c r="AE24" s="187"/>
      <c r="AF24" s="187"/>
      <c r="AG24" s="187"/>
      <c r="AH24" s="187"/>
      <c r="AI24" s="187">
        <f t="shared" si="60"/>
        <v>0</v>
      </c>
      <c r="AJ24" s="187"/>
      <c r="AK24" s="187"/>
      <c r="AL24" s="187"/>
      <c r="AM24" s="187"/>
      <c r="AN24" s="187">
        <f t="shared" si="61"/>
        <v>0</v>
      </c>
      <c r="AO24" s="187"/>
      <c r="AP24" s="187">
        <v>29273251.5</v>
      </c>
      <c r="AQ24" s="187"/>
      <c r="AR24" s="187"/>
      <c r="AS24" s="187">
        <f t="shared" si="62"/>
        <v>29273251.5</v>
      </c>
    </row>
    <row r="25" spans="2:45" ht="12" customHeight="1" outlineLevel="1" x14ac:dyDescent="0.2">
      <c r="B25" s="47" t="s">
        <v>54</v>
      </c>
      <c r="C25" s="48" t="s">
        <v>55</v>
      </c>
      <c r="D25" s="49">
        <v>1</v>
      </c>
      <c r="E25" s="49" t="s">
        <v>37</v>
      </c>
      <c r="F25" s="124">
        <v>11709300.6</v>
      </c>
      <c r="G25" s="124">
        <f t="shared" si="55"/>
        <v>11709300.6</v>
      </c>
      <c r="I25" s="135">
        <f t="shared" si="40"/>
        <v>0</v>
      </c>
      <c r="J25" s="187">
        <v>11709300</v>
      </c>
      <c r="K25" s="187"/>
      <c r="L25" s="187"/>
      <c r="M25" s="187"/>
      <c r="N25" s="187"/>
      <c r="O25" s="187">
        <f t="shared" si="56"/>
        <v>0</v>
      </c>
      <c r="P25" s="187"/>
      <c r="Q25" s="187"/>
      <c r="R25" s="187"/>
      <c r="S25" s="187"/>
      <c r="T25" s="187">
        <f t="shared" si="57"/>
        <v>0</v>
      </c>
      <c r="U25" s="187"/>
      <c r="V25" s="187"/>
      <c r="W25" s="187"/>
      <c r="X25" s="187"/>
      <c r="Y25" s="187">
        <f t="shared" si="58"/>
        <v>0</v>
      </c>
      <c r="Z25" s="187"/>
      <c r="AA25" s="187"/>
      <c r="AB25" s="187"/>
      <c r="AC25" s="187"/>
      <c r="AD25" s="187">
        <f t="shared" si="59"/>
        <v>0</v>
      </c>
      <c r="AE25" s="187"/>
      <c r="AF25" s="187"/>
      <c r="AG25" s="187"/>
      <c r="AH25" s="187"/>
      <c r="AI25" s="187">
        <f t="shared" si="60"/>
        <v>0</v>
      </c>
      <c r="AJ25" s="187"/>
      <c r="AK25" s="187"/>
      <c r="AL25" s="187"/>
      <c r="AM25" s="187"/>
      <c r="AN25" s="187">
        <f t="shared" si="61"/>
        <v>0</v>
      </c>
      <c r="AO25" s="187"/>
      <c r="AP25" s="187">
        <v>11709300.6</v>
      </c>
      <c r="AQ25" s="187"/>
      <c r="AR25" s="187"/>
      <c r="AS25" s="187">
        <f t="shared" si="62"/>
        <v>11709300.6</v>
      </c>
    </row>
    <row r="26" spans="2:45" ht="12" customHeight="1" x14ac:dyDescent="0.2">
      <c r="B26" s="51" t="s">
        <v>56</v>
      </c>
      <c r="C26" s="52" t="s">
        <v>57</v>
      </c>
      <c r="D26" s="46"/>
      <c r="E26" s="46"/>
      <c r="F26" s="123"/>
      <c r="G26" s="277">
        <f>G27</f>
        <v>24640000</v>
      </c>
      <c r="I26" s="190">
        <f>SUM(I27:I28)</f>
        <v>34339945</v>
      </c>
      <c r="J26" s="190">
        <f t="shared" ref="J26:AN26" si="63">SUM(J27:J28)</f>
        <v>10450000</v>
      </c>
      <c r="K26" s="190">
        <f t="shared" si="63"/>
        <v>0</v>
      </c>
      <c r="L26" s="190">
        <f t="shared" si="63"/>
        <v>0</v>
      </c>
      <c r="M26" s="190">
        <f t="shared" si="63"/>
        <v>0</v>
      </c>
      <c r="N26" s="190">
        <f t="shared" si="63"/>
        <v>2435886</v>
      </c>
      <c r="O26" s="190">
        <f t="shared" si="63"/>
        <v>2435886</v>
      </c>
      <c r="P26" s="190">
        <f t="shared" si="63"/>
        <v>0</v>
      </c>
      <c r="Q26" s="190">
        <f t="shared" si="63"/>
        <v>0</v>
      </c>
      <c r="R26" s="190">
        <f t="shared" si="63"/>
        <v>0</v>
      </c>
      <c r="S26" s="190">
        <f t="shared" si="63"/>
        <v>10365382</v>
      </c>
      <c r="T26" s="190">
        <f t="shared" si="63"/>
        <v>10365382</v>
      </c>
      <c r="U26" s="190">
        <f t="shared" si="63"/>
        <v>0</v>
      </c>
      <c r="V26" s="190">
        <f t="shared" si="63"/>
        <v>0</v>
      </c>
      <c r="W26" s="190">
        <f t="shared" si="63"/>
        <v>0</v>
      </c>
      <c r="X26" s="190">
        <f t="shared" si="63"/>
        <v>10365382</v>
      </c>
      <c r="Y26" s="190">
        <f t="shared" si="63"/>
        <v>10365382</v>
      </c>
      <c r="Z26" s="190">
        <f t="shared" si="63"/>
        <v>0</v>
      </c>
      <c r="AA26" s="190">
        <f t="shared" si="63"/>
        <v>0</v>
      </c>
      <c r="AB26" s="190">
        <f t="shared" si="63"/>
        <v>0</v>
      </c>
      <c r="AC26" s="190">
        <f t="shared" si="63"/>
        <v>3450000</v>
      </c>
      <c r="AD26" s="190">
        <f t="shared" si="63"/>
        <v>3450000</v>
      </c>
      <c r="AE26" s="190">
        <f t="shared" si="63"/>
        <v>0</v>
      </c>
      <c r="AF26" s="190">
        <f t="shared" si="63"/>
        <v>0</v>
      </c>
      <c r="AG26" s="190">
        <f t="shared" si="63"/>
        <v>0</v>
      </c>
      <c r="AH26" s="190">
        <f t="shared" si="63"/>
        <v>3450000</v>
      </c>
      <c r="AI26" s="190">
        <f t="shared" si="63"/>
        <v>3450000</v>
      </c>
      <c r="AJ26" s="190">
        <f t="shared" si="63"/>
        <v>0</v>
      </c>
      <c r="AK26" s="190">
        <f t="shared" si="63"/>
        <v>0</v>
      </c>
      <c r="AL26" s="190">
        <f t="shared" si="63"/>
        <v>0</v>
      </c>
      <c r="AM26" s="190">
        <f t="shared" si="63"/>
        <v>4273295</v>
      </c>
      <c r="AN26" s="190">
        <f t="shared" si="63"/>
        <v>4273295</v>
      </c>
      <c r="AO26" s="190">
        <f t="shared" ref="AO26:AS26" si="64">SUM(AO27:AO28)</f>
        <v>0</v>
      </c>
      <c r="AP26" s="190">
        <f t="shared" si="64"/>
        <v>0</v>
      </c>
      <c r="AQ26" s="190">
        <f t="shared" si="64"/>
        <v>0</v>
      </c>
      <c r="AR26" s="190">
        <f t="shared" si="64"/>
        <v>4273295</v>
      </c>
      <c r="AS26" s="190">
        <f t="shared" si="64"/>
        <v>4273295</v>
      </c>
    </row>
    <row r="27" spans="2:45" s="1" customFormat="1" ht="12" customHeight="1" x14ac:dyDescent="0.2">
      <c r="B27" s="138" t="s">
        <v>58</v>
      </c>
      <c r="C27" s="139" t="s">
        <v>59</v>
      </c>
      <c r="D27" s="140">
        <v>4</v>
      </c>
      <c r="E27" s="140" t="s">
        <v>60</v>
      </c>
      <c r="F27" s="50">
        <v>6160000</v>
      </c>
      <c r="G27" s="50">
        <f t="shared" ref="G27" si="65">+D27*F27</f>
        <v>24640000</v>
      </c>
      <c r="I27" s="135">
        <f t="shared" si="40"/>
        <v>17089945</v>
      </c>
      <c r="J27" s="187">
        <v>7000000</v>
      </c>
      <c r="K27" s="187"/>
      <c r="L27" s="187"/>
      <c r="M27" s="187"/>
      <c r="N27" s="187">
        <v>2435886</v>
      </c>
      <c r="O27" s="187">
        <f>SUM(K27:N27)</f>
        <v>2435886</v>
      </c>
      <c r="P27" s="187"/>
      <c r="Q27" s="187"/>
      <c r="R27" s="187"/>
      <c r="S27" s="187">
        <v>6915382</v>
      </c>
      <c r="T27" s="187">
        <f>SUM(P27:S27)</f>
        <v>6915382</v>
      </c>
      <c r="U27" s="187"/>
      <c r="V27" s="187"/>
      <c r="W27" s="187"/>
      <c r="X27" s="187">
        <v>6915382</v>
      </c>
      <c r="Y27" s="187">
        <f>SUM(U27:X27)</f>
        <v>6915382</v>
      </c>
      <c r="Z27" s="187"/>
      <c r="AA27" s="187"/>
      <c r="AB27" s="187"/>
      <c r="AC27" s="187"/>
      <c r="AD27" s="187">
        <f>SUM(Z27:AC27)</f>
        <v>0</v>
      </c>
      <c r="AE27" s="187"/>
      <c r="AF27" s="187"/>
      <c r="AG27" s="187"/>
      <c r="AH27" s="187"/>
      <c r="AI27" s="187">
        <f>SUM(AE27:AH27)</f>
        <v>0</v>
      </c>
      <c r="AJ27" s="187"/>
      <c r="AK27" s="187"/>
      <c r="AL27" s="187"/>
      <c r="AM27" s="187">
        <v>823295</v>
      </c>
      <c r="AN27" s="187">
        <f>SUM(AJ27:AM27)</f>
        <v>823295</v>
      </c>
      <c r="AO27" s="187"/>
      <c r="AP27" s="187"/>
      <c r="AQ27" s="187"/>
      <c r="AR27" s="187">
        <v>823295</v>
      </c>
      <c r="AS27" s="187">
        <f>SUM(AO27:AR27)</f>
        <v>823295</v>
      </c>
    </row>
    <row r="28" spans="2:45" s="1" customFormat="1" ht="12" customHeight="1" x14ac:dyDescent="0.2">
      <c r="B28" s="267" t="s">
        <v>185</v>
      </c>
      <c r="C28" s="268" t="s">
        <v>231</v>
      </c>
      <c r="D28" s="269">
        <v>4</v>
      </c>
      <c r="E28" s="269" t="s">
        <v>232</v>
      </c>
      <c r="F28" s="270">
        <f>2300000*1.5</f>
        <v>3450000</v>
      </c>
      <c r="G28" s="270">
        <f>F28*D28</f>
        <v>13800000</v>
      </c>
      <c r="I28" s="135">
        <f t="shared" si="40"/>
        <v>17250000</v>
      </c>
      <c r="J28" s="269">
        <f>2300000*1.5</f>
        <v>3450000</v>
      </c>
      <c r="K28" s="271"/>
      <c r="L28" s="271"/>
      <c r="M28" s="271"/>
      <c r="N28" s="271"/>
      <c r="O28" s="187">
        <f>SUM(K28:N28)</f>
        <v>0</v>
      </c>
      <c r="P28" s="271"/>
      <c r="Q28" s="271"/>
      <c r="R28" s="271"/>
      <c r="S28" s="271">
        <v>3450000</v>
      </c>
      <c r="T28" s="187">
        <f>SUM(P28:S28)</f>
        <v>3450000</v>
      </c>
      <c r="U28" s="271"/>
      <c r="V28" s="271"/>
      <c r="W28" s="271"/>
      <c r="X28" s="272">
        <f>2300000*1.5</f>
        <v>3450000</v>
      </c>
      <c r="Y28" s="187">
        <f>SUM(U28:X28)</f>
        <v>3450000</v>
      </c>
      <c r="Z28" s="271"/>
      <c r="AA28" s="271"/>
      <c r="AB28" s="272"/>
      <c r="AC28" s="272">
        <f>2300000*1.5</f>
        <v>3450000</v>
      </c>
      <c r="AD28" s="187">
        <f>SUM(Z28:AC28)</f>
        <v>3450000</v>
      </c>
      <c r="AE28" s="271"/>
      <c r="AF28" s="271"/>
      <c r="AG28" s="272"/>
      <c r="AH28" s="272">
        <f>2300000*1.5</f>
        <v>3450000</v>
      </c>
      <c r="AI28" s="187">
        <f>SUM(AE28:AH28)</f>
        <v>3450000</v>
      </c>
      <c r="AJ28" s="271"/>
      <c r="AK28" s="271"/>
      <c r="AL28" s="271"/>
      <c r="AM28" s="272">
        <f>2300000*1.5</f>
        <v>3450000</v>
      </c>
      <c r="AN28" s="187">
        <f>SUM(AJ28:AM28)</f>
        <v>3450000</v>
      </c>
      <c r="AO28" s="271"/>
      <c r="AP28" s="271"/>
      <c r="AQ28" s="271"/>
      <c r="AR28" s="272">
        <f>2300000*1.5</f>
        <v>3450000</v>
      </c>
      <c r="AS28" s="187">
        <f>SUM(AO28:AR28)</f>
        <v>3450000</v>
      </c>
    </row>
    <row r="29" spans="2:45" ht="12" customHeight="1" x14ac:dyDescent="0.2">
      <c r="B29" s="44" t="s">
        <v>61</v>
      </c>
      <c r="C29" s="45" t="s">
        <v>62</v>
      </c>
      <c r="D29" s="46"/>
      <c r="E29" s="46"/>
      <c r="F29" s="123"/>
      <c r="G29" s="123">
        <f>SUM(G30:G38)</f>
        <v>750834.39999999991</v>
      </c>
      <c r="I29" s="184">
        <f t="shared" ref="I29:AH29" si="66">SUM(I30:I38)</f>
        <v>661557</v>
      </c>
      <c r="J29" s="184">
        <f t="shared" si="66"/>
        <v>661557</v>
      </c>
      <c r="K29" s="184">
        <f t="shared" si="66"/>
        <v>0</v>
      </c>
      <c r="L29" s="184">
        <f t="shared" si="66"/>
        <v>0</v>
      </c>
      <c r="M29" s="184">
        <f t="shared" si="66"/>
        <v>0</v>
      </c>
      <c r="N29" s="184">
        <f t="shared" si="66"/>
        <v>661557</v>
      </c>
      <c r="O29" s="184">
        <f t="shared" si="66"/>
        <v>661557</v>
      </c>
      <c r="P29" s="184">
        <f t="shared" si="66"/>
        <v>0</v>
      </c>
      <c r="Q29" s="184">
        <f t="shared" si="66"/>
        <v>0</v>
      </c>
      <c r="R29" s="184">
        <f t="shared" si="66"/>
        <v>0</v>
      </c>
      <c r="S29" s="184">
        <f t="shared" si="66"/>
        <v>0</v>
      </c>
      <c r="T29" s="184">
        <f t="shared" ref="T29" si="67">SUM(T30:T38)</f>
        <v>0</v>
      </c>
      <c r="U29" s="184">
        <f t="shared" si="66"/>
        <v>0</v>
      </c>
      <c r="V29" s="184">
        <f t="shared" si="66"/>
        <v>0</v>
      </c>
      <c r="W29" s="184">
        <f t="shared" si="66"/>
        <v>0</v>
      </c>
      <c r="X29" s="184">
        <f t="shared" si="66"/>
        <v>0</v>
      </c>
      <c r="Y29" s="184">
        <f t="shared" ref="Y29" si="68">SUM(Y30:Y38)</f>
        <v>0</v>
      </c>
      <c r="Z29" s="184">
        <f t="shared" si="66"/>
        <v>0</v>
      </c>
      <c r="AA29" s="184">
        <f t="shared" si="66"/>
        <v>0</v>
      </c>
      <c r="AB29" s="184">
        <f t="shared" si="66"/>
        <v>0</v>
      </c>
      <c r="AC29" s="184">
        <f t="shared" si="66"/>
        <v>0</v>
      </c>
      <c r="AD29" s="184">
        <f t="shared" ref="AD29" si="69">SUM(AD30:AD38)</f>
        <v>0</v>
      </c>
      <c r="AE29" s="184">
        <f t="shared" si="66"/>
        <v>0</v>
      </c>
      <c r="AF29" s="184">
        <f t="shared" si="66"/>
        <v>0</v>
      </c>
      <c r="AG29" s="184">
        <f t="shared" si="66"/>
        <v>0</v>
      </c>
      <c r="AH29" s="184">
        <f t="shared" si="66"/>
        <v>0</v>
      </c>
      <c r="AI29" s="184">
        <f t="shared" ref="AI29:AM29" si="70">SUM(AI30:AI38)</f>
        <v>0</v>
      </c>
      <c r="AJ29" s="184">
        <f t="shared" si="70"/>
        <v>0</v>
      </c>
      <c r="AK29" s="184">
        <f t="shared" si="70"/>
        <v>0</v>
      </c>
      <c r="AL29" s="184">
        <f t="shared" si="70"/>
        <v>0</v>
      </c>
      <c r="AM29" s="184">
        <f t="shared" si="70"/>
        <v>0</v>
      </c>
      <c r="AN29" s="184">
        <f t="shared" ref="AN29:AR29" si="71">SUM(AN30:AN38)</f>
        <v>0</v>
      </c>
      <c r="AO29" s="184">
        <f t="shared" si="71"/>
        <v>0</v>
      </c>
      <c r="AP29" s="184">
        <f t="shared" si="71"/>
        <v>0</v>
      </c>
      <c r="AQ29" s="184">
        <f t="shared" si="71"/>
        <v>0</v>
      </c>
      <c r="AR29" s="184">
        <f t="shared" si="71"/>
        <v>0</v>
      </c>
      <c r="AS29" s="184">
        <f t="shared" ref="AS29" si="72">SUM(AS30:AS38)</f>
        <v>0</v>
      </c>
    </row>
    <row r="30" spans="2:45" ht="12" customHeight="1" x14ac:dyDescent="0.2">
      <c r="B30" s="53" t="s">
        <v>63</v>
      </c>
      <c r="C30" s="54" t="s">
        <v>64</v>
      </c>
      <c r="D30" s="55">
        <v>3</v>
      </c>
      <c r="E30" s="55" t="s">
        <v>65</v>
      </c>
      <c r="F30" s="126">
        <v>125384.29999999999</v>
      </c>
      <c r="G30" s="124">
        <f t="shared" ref="G30:G40" si="73">+D30*F30</f>
        <v>376152.89999999997</v>
      </c>
      <c r="I30" s="135">
        <f t="shared" si="40"/>
        <v>150000</v>
      </c>
      <c r="J30" s="187">
        <v>150000</v>
      </c>
      <c r="K30" s="187"/>
      <c r="L30" s="187"/>
      <c r="M30" s="187"/>
      <c r="N30" s="187">
        <v>150000</v>
      </c>
      <c r="O30" s="187">
        <f t="shared" ref="O30:O38" si="74">SUM(K30:N30)</f>
        <v>150000</v>
      </c>
      <c r="P30" s="187"/>
      <c r="Q30" s="187"/>
      <c r="R30" s="187"/>
      <c r="S30" s="187"/>
      <c r="T30" s="187">
        <f t="shared" ref="T30:T38" si="75">SUM(P30:S30)</f>
        <v>0</v>
      </c>
      <c r="U30" s="187"/>
      <c r="V30" s="187"/>
      <c r="W30" s="187"/>
      <c r="X30" s="187"/>
      <c r="Y30" s="187">
        <f t="shared" ref="Y30:Y38" si="76">SUM(U30:X30)</f>
        <v>0</v>
      </c>
      <c r="Z30" s="187"/>
      <c r="AA30" s="187"/>
      <c r="AB30" s="187"/>
      <c r="AC30" s="187"/>
      <c r="AD30" s="187">
        <f t="shared" ref="AD30:AD38" si="77">SUM(Z30:AC30)</f>
        <v>0</v>
      </c>
      <c r="AE30" s="187"/>
      <c r="AF30" s="187"/>
      <c r="AG30" s="187"/>
      <c r="AH30" s="187"/>
      <c r="AI30" s="187">
        <f t="shared" ref="AI30:AI38" si="78">SUM(AE30:AH30)</f>
        <v>0</v>
      </c>
      <c r="AJ30" s="187"/>
      <c r="AK30" s="187"/>
      <c r="AL30" s="187"/>
      <c r="AM30" s="187"/>
      <c r="AN30" s="187">
        <f t="shared" ref="AN30:AN38" si="79">SUM(AJ30:AM30)</f>
        <v>0</v>
      </c>
      <c r="AO30" s="187"/>
      <c r="AP30" s="187"/>
      <c r="AQ30" s="187"/>
      <c r="AR30" s="187"/>
      <c r="AS30" s="187">
        <f t="shared" ref="AS30:AS38" si="80">SUM(AO30:AR30)</f>
        <v>0</v>
      </c>
    </row>
    <row r="31" spans="2:45" ht="12" customHeight="1" x14ac:dyDescent="0.2">
      <c r="B31" s="53" t="s">
        <v>66</v>
      </c>
      <c r="C31" s="48" t="s">
        <v>67</v>
      </c>
      <c r="D31" s="49">
        <v>1</v>
      </c>
      <c r="E31" s="49" t="s">
        <v>65</v>
      </c>
      <c r="F31" s="124">
        <v>17867</v>
      </c>
      <c r="G31" s="124">
        <f t="shared" si="73"/>
        <v>17867</v>
      </c>
      <c r="I31" s="135">
        <f t="shared" si="40"/>
        <v>17850</v>
      </c>
      <c r="J31" s="187">
        <v>17850</v>
      </c>
      <c r="K31" s="187"/>
      <c r="L31" s="187"/>
      <c r="M31" s="187"/>
      <c r="N31" s="187">
        <v>17850</v>
      </c>
      <c r="O31" s="187">
        <f t="shared" si="74"/>
        <v>17850</v>
      </c>
      <c r="P31" s="187"/>
      <c r="Q31" s="187"/>
      <c r="R31" s="187"/>
      <c r="S31" s="187"/>
      <c r="T31" s="187">
        <f t="shared" si="75"/>
        <v>0</v>
      </c>
      <c r="U31" s="187"/>
      <c r="V31" s="187"/>
      <c r="W31" s="187"/>
      <c r="X31" s="187"/>
      <c r="Y31" s="187">
        <f t="shared" si="76"/>
        <v>0</v>
      </c>
      <c r="Z31" s="187"/>
      <c r="AA31" s="187"/>
      <c r="AB31" s="187"/>
      <c r="AC31" s="187"/>
      <c r="AD31" s="187">
        <f t="shared" si="77"/>
        <v>0</v>
      </c>
      <c r="AE31" s="187"/>
      <c r="AF31" s="187"/>
      <c r="AG31" s="187"/>
      <c r="AH31" s="187"/>
      <c r="AI31" s="187">
        <f t="shared" si="78"/>
        <v>0</v>
      </c>
      <c r="AJ31" s="187"/>
      <c r="AK31" s="187"/>
      <c r="AL31" s="187"/>
      <c r="AM31" s="187"/>
      <c r="AN31" s="187">
        <f t="shared" si="79"/>
        <v>0</v>
      </c>
      <c r="AO31" s="187"/>
      <c r="AP31" s="187"/>
      <c r="AQ31" s="187"/>
      <c r="AR31" s="187"/>
      <c r="AS31" s="187">
        <f t="shared" si="80"/>
        <v>0</v>
      </c>
    </row>
    <row r="32" spans="2:45" ht="12" customHeight="1" x14ac:dyDescent="0.2">
      <c r="B32" s="53" t="s">
        <v>68</v>
      </c>
      <c r="C32" s="48" t="s">
        <v>69</v>
      </c>
      <c r="D32" s="49">
        <v>3</v>
      </c>
      <c r="E32" s="49" t="s">
        <v>65</v>
      </c>
      <c r="F32" s="124">
        <v>2627.5</v>
      </c>
      <c r="G32" s="124">
        <f t="shared" si="73"/>
        <v>7882.5</v>
      </c>
      <c r="I32" s="135">
        <f t="shared" si="40"/>
        <v>4341</v>
      </c>
      <c r="J32" s="187">
        <v>4341</v>
      </c>
      <c r="K32" s="187"/>
      <c r="L32" s="187"/>
      <c r="M32" s="187"/>
      <c r="N32" s="187">
        <v>4341</v>
      </c>
      <c r="O32" s="187">
        <f t="shared" si="74"/>
        <v>4341</v>
      </c>
      <c r="P32" s="187"/>
      <c r="Q32" s="187"/>
      <c r="R32" s="187"/>
      <c r="S32" s="187"/>
      <c r="T32" s="187">
        <f t="shared" si="75"/>
        <v>0</v>
      </c>
      <c r="U32" s="187"/>
      <c r="V32" s="187"/>
      <c r="W32" s="187"/>
      <c r="X32" s="187"/>
      <c r="Y32" s="187">
        <f t="shared" si="76"/>
        <v>0</v>
      </c>
      <c r="Z32" s="187"/>
      <c r="AA32" s="187"/>
      <c r="AB32" s="187"/>
      <c r="AC32" s="187"/>
      <c r="AD32" s="187">
        <f t="shared" si="77"/>
        <v>0</v>
      </c>
      <c r="AE32" s="187"/>
      <c r="AF32" s="187"/>
      <c r="AG32" s="187"/>
      <c r="AH32" s="187"/>
      <c r="AI32" s="187">
        <f t="shared" si="78"/>
        <v>0</v>
      </c>
      <c r="AJ32" s="187"/>
      <c r="AK32" s="187"/>
      <c r="AL32" s="187"/>
      <c r="AM32" s="187"/>
      <c r="AN32" s="187">
        <f t="shared" si="79"/>
        <v>0</v>
      </c>
      <c r="AO32" s="187"/>
      <c r="AP32" s="187"/>
      <c r="AQ32" s="187"/>
      <c r="AR32" s="187"/>
      <c r="AS32" s="187">
        <f t="shared" si="80"/>
        <v>0</v>
      </c>
    </row>
    <row r="33" spans="2:45" ht="12" customHeight="1" x14ac:dyDescent="0.2">
      <c r="B33" s="53" t="s">
        <v>70</v>
      </c>
      <c r="C33" s="48" t="s">
        <v>71</v>
      </c>
      <c r="D33" s="49">
        <v>3</v>
      </c>
      <c r="E33" s="49" t="s">
        <v>65</v>
      </c>
      <c r="F33" s="124">
        <v>5780.5</v>
      </c>
      <c r="G33" s="124">
        <f t="shared" si="73"/>
        <v>17341.5</v>
      </c>
      <c r="I33" s="135">
        <f t="shared" si="40"/>
        <v>23324</v>
      </c>
      <c r="J33" s="187">
        <v>23324</v>
      </c>
      <c r="K33" s="187"/>
      <c r="L33" s="187"/>
      <c r="M33" s="187"/>
      <c r="N33" s="187">
        <v>23324</v>
      </c>
      <c r="O33" s="187">
        <f t="shared" si="74"/>
        <v>23324</v>
      </c>
      <c r="P33" s="187"/>
      <c r="Q33" s="187"/>
      <c r="R33" s="187"/>
      <c r="S33" s="187"/>
      <c r="T33" s="187">
        <f t="shared" si="75"/>
        <v>0</v>
      </c>
      <c r="U33" s="187"/>
      <c r="V33" s="187"/>
      <c r="W33" s="187"/>
      <c r="X33" s="187"/>
      <c r="Y33" s="187">
        <f t="shared" si="76"/>
        <v>0</v>
      </c>
      <c r="Z33" s="187"/>
      <c r="AA33" s="187"/>
      <c r="AB33" s="187"/>
      <c r="AC33" s="187"/>
      <c r="AD33" s="187">
        <f t="shared" si="77"/>
        <v>0</v>
      </c>
      <c r="AE33" s="187"/>
      <c r="AF33" s="187"/>
      <c r="AG33" s="187"/>
      <c r="AH33" s="187"/>
      <c r="AI33" s="187">
        <f t="shared" si="78"/>
        <v>0</v>
      </c>
      <c r="AJ33" s="187"/>
      <c r="AK33" s="187"/>
      <c r="AL33" s="187"/>
      <c r="AM33" s="187"/>
      <c r="AN33" s="187">
        <f t="shared" si="79"/>
        <v>0</v>
      </c>
      <c r="AO33" s="187"/>
      <c r="AP33" s="187"/>
      <c r="AQ33" s="187"/>
      <c r="AR33" s="187"/>
      <c r="AS33" s="187">
        <f t="shared" si="80"/>
        <v>0</v>
      </c>
    </row>
    <row r="34" spans="2:45" ht="12" customHeight="1" x14ac:dyDescent="0.2">
      <c r="B34" s="53" t="s">
        <v>72</v>
      </c>
      <c r="C34" s="48" t="s">
        <v>73</v>
      </c>
      <c r="D34" s="49">
        <v>1</v>
      </c>
      <c r="E34" s="49" t="s">
        <v>65</v>
      </c>
      <c r="F34" s="124">
        <v>72519</v>
      </c>
      <c r="G34" s="124">
        <f t="shared" si="73"/>
        <v>72519</v>
      </c>
      <c r="I34" s="135">
        <f t="shared" si="40"/>
        <v>66640</v>
      </c>
      <c r="J34" s="187">
        <v>66640</v>
      </c>
      <c r="K34" s="187"/>
      <c r="L34" s="187"/>
      <c r="M34" s="187"/>
      <c r="N34" s="187">
        <v>66640</v>
      </c>
      <c r="O34" s="187">
        <f t="shared" si="74"/>
        <v>66640</v>
      </c>
      <c r="P34" s="187"/>
      <c r="Q34" s="187"/>
      <c r="R34" s="187"/>
      <c r="S34" s="187"/>
      <c r="T34" s="187">
        <f t="shared" si="75"/>
        <v>0</v>
      </c>
      <c r="U34" s="187"/>
      <c r="V34" s="187"/>
      <c r="W34" s="187"/>
      <c r="X34" s="187"/>
      <c r="Y34" s="187">
        <f t="shared" si="76"/>
        <v>0</v>
      </c>
      <c r="Z34" s="187"/>
      <c r="AA34" s="187"/>
      <c r="AB34" s="187"/>
      <c r="AC34" s="187"/>
      <c r="AD34" s="187">
        <f t="shared" si="77"/>
        <v>0</v>
      </c>
      <c r="AE34" s="187"/>
      <c r="AF34" s="187"/>
      <c r="AG34" s="187"/>
      <c r="AH34" s="187"/>
      <c r="AI34" s="187">
        <f t="shared" si="78"/>
        <v>0</v>
      </c>
      <c r="AJ34" s="187"/>
      <c r="AK34" s="187"/>
      <c r="AL34" s="187"/>
      <c r="AM34" s="187"/>
      <c r="AN34" s="187">
        <f t="shared" si="79"/>
        <v>0</v>
      </c>
      <c r="AO34" s="187"/>
      <c r="AP34" s="187"/>
      <c r="AQ34" s="187"/>
      <c r="AR34" s="187"/>
      <c r="AS34" s="187">
        <f t="shared" si="80"/>
        <v>0</v>
      </c>
    </row>
    <row r="35" spans="2:45" ht="12" customHeight="1" x14ac:dyDescent="0.2">
      <c r="B35" s="53" t="s">
        <v>74</v>
      </c>
      <c r="C35" s="48" t="s">
        <v>75</v>
      </c>
      <c r="D35" s="49">
        <v>1</v>
      </c>
      <c r="E35" s="49" t="s">
        <v>65</v>
      </c>
      <c r="F35" s="124">
        <v>118762.99999999999</v>
      </c>
      <c r="G35" s="124">
        <f t="shared" si="73"/>
        <v>118762.99999999999</v>
      </c>
      <c r="I35" s="135">
        <f t="shared" si="40"/>
        <v>116739</v>
      </c>
      <c r="J35" s="187">
        <v>116739</v>
      </c>
      <c r="K35" s="187"/>
      <c r="L35" s="187"/>
      <c r="M35" s="187"/>
      <c r="N35" s="187">
        <v>116739</v>
      </c>
      <c r="O35" s="187">
        <f t="shared" si="74"/>
        <v>116739</v>
      </c>
      <c r="P35" s="187"/>
      <c r="Q35" s="187"/>
      <c r="R35" s="187"/>
      <c r="S35" s="187"/>
      <c r="T35" s="187">
        <f t="shared" si="75"/>
        <v>0</v>
      </c>
      <c r="U35" s="187"/>
      <c r="V35" s="187"/>
      <c r="W35" s="187"/>
      <c r="X35" s="187"/>
      <c r="Y35" s="187">
        <f t="shared" si="76"/>
        <v>0</v>
      </c>
      <c r="Z35" s="187"/>
      <c r="AA35" s="187"/>
      <c r="AB35" s="187"/>
      <c r="AC35" s="187"/>
      <c r="AD35" s="187">
        <f t="shared" si="77"/>
        <v>0</v>
      </c>
      <c r="AE35" s="187"/>
      <c r="AF35" s="187"/>
      <c r="AG35" s="187"/>
      <c r="AH35" s="187"/>
      <c r="AI35" s="187">
        <f t="shared" si="78"/>
        <v>0</v>
      </c>
      <c r="AJ35" s="187"/>
      <c r="AK35" s="187"/>
      <c r="AL35" s="187"/>
      <c r="AM35" s="187"/>
      <c r="AN35" s="187">
        <f t="shared" si="79"/>
        <v>0</v>
      </c>
      <c r="AO35" s="187"/>
      <c r="AP35" s="187"/>
      <c r="AQ35" s="187"/>
      <c r="AR35" s="187"/>
      <c r="AS35" s="187">
        <f t="shared" si="80"/>
        <v>0</v>
      </c>
    </row>
    <row r="36" spans="2:45" ht="12" customHeight="1" x14ac:dyDescent="0.2">
      <c r="B36" s="53" t="s">
        <v>76</v>
      </c>
      <c r="C36" s="48" t="s">
        <v>77</v>
      </c>
      <c r="D36" s="49">
        <v>3</v>
      </c>
      <c r="E36" s="49" t="s">
        <v>65</v>
      </c>
      <c r="F36" s="124">
        <v>3678.4999999999995</v>
      </c>
      <c r="G36" s="124">
        <f t="shared" si="73"/>
        <v>11035.499999999998</v>
      </c>
      <c r="I36" s="135">
        <f t="shared" si="40"/>
        <v>14756</v>
      </c>
      <c r="J36" s="187">
        <v>14756</v>
      </c>
      <c r="K36" s="187"/>
      <c r="L36" s="187"/>
      <c r="M36" s="187"/>
      <c r="N36" s="187">
        <v>14756</v>
      </c>
      <c r="O36" s="187">
        <f t="shared" si="74"/>
        <v>14756</v>
      </c>
      <c r="P36" s="187"/>
      <c r="Q36" s="187"/>
      <c r="R36" s="187"/>
      <c r="S36" s="187"/>
      <c r="T36" s="187">
        <f t="shared" si="75"/>
        <v>0</v>
      </c>
      <c r="U36" s="187"/>
      <c r="V36" s="187"/>
      <c r="W36" s="187"/>
      <c r="X36" s="187"/>
      <c r="Y36" s="187">
        <f t="shared" si="76"/>
        <v>0</v>
      </c>
      <c r="Z36" s="187"/>
      <c r="AA36" s="187"/>
      <c r="AB36" s="187"/>
      <c r="AC36" s="187"/>
      <c r="AD36" s="187">
        <f t="shared" si="77"/>
        <v>0</v>
      </c>
      <c r="AE36" s="187"/>
      <c r="AF36" s="187"/>
      <c r="AG36" s="187"/>
      <c r="AH36" s="187"/>
      <c r="AI36" s="187">
        <f t="shared" si="78"/>
        <v>0</v>
      </c>
      <c r="AJ36" s="187"/>
      <c r="AK36" s="187"/>
      <c r="AL36" s="187"/>
      <c r="AM36" s="187"/>
      <c r="AN36" s="187">
        <f t="shared" si="79"/>
        <v>0</v>
      </c>
      <c r="AO36" s="187"/>
      <c r="AP36" s="187"/>
      <c r="AQ36" s="187"/>
      <c r="AR36" s="187"/>
      <c r="AS36" s="187">
        <f t="shared" si="80"/>
        <v>0</v>
      </c>
    </row>
    <row r="37" spans="2:45" ht="12" customHeight="1" x14ac:dyDescent="0.2">
      <c r="B37" s="53" t="s">
        <v>78</v>
      </c>
      <c r="C37" s="48" t="s">
        <v>79</v>
      </c>
      <c r="D37" s="49">
        <v>1</v>
      </c>
      <c r="E37" s="49" t="s">
        <v>65</v>
      </c>
      <c r="F37" s="124">
        <v>78825</v>
      </c>
      <c r="G37" s="124">
        <f t="shared" si="73"/>
        <v>78825</v>
      </c>
      <c r="I37" s="135">
        <f t="shared" si="40"/>
        <v>81037</v>
      </c>
      <c r="J37" s="187">
        <v>81037</v>
      </c>
      <c r="K37" s="187"/>
      <c r="L37" s="187"/>
      <c r="M37" s="187"/>
      <c r="N37" s="187">
        <v>81037</v>
      </c>
      <c r="O37" s="187">
        <f t="shared" si="74"/>
        <v>81037</v>
      </c>
      <c r="P37" s="187"/>
      <c r="Q37" s="187"/>
      <c r="R37" s="187"/>
      <c r="S37" s="187"/>
      <c r="T37" s="187">
        <f t="shared" si="75"/>
        <v>0</v>
      </c>
      <c r="U37" s="187"/>
      <c r="V37" s="187"/>
      <c r="W37" s="187"/>
      <c r="X37" s="187"/>
      <c r="Y37" s="187">
        <f t="shared" si="76"/>
        <v>0</v>
      </c>
      <c r="Z37" s="187"/>
      <c r="AA37" s="187"/>
      <c r="AB37" s="187"/>
      <c r="AC37" s="187"/>
      <c r="AD37" s="187">
        <f t="shared" si="77"/>
        <v>0</v>
      </c>
      <c r="AE37" s="187"/>
      <c r="AF37" s="187"/>
      <c r="AG37" s="187"/>
      <c r="AH37" s="187"/>
      <c r="AI37" s="187">
        <f t="shared" si="78"/>
        <v>0</v>
      </c>
      <c r="AJ37" s="187"/>
      <c r="AK37" s="187"/>
      <c r="AL37" s="187"/>
      <c r="AM37" s="187"/>
      <c r="AN37" s="187">
        <f t="shared" si="79"/>
        <v>0</v>
      </c>
      <c r="AO37" s="187"/>
      <c r="AP37" s="187"/>
      <c r="AQ37" s="187"/>
      <c r="AR37" s="187"/>
      <c r="AS37" s="187">
        <f t="shared" si="80"/>
        <v>0</v>
      </c>
    </row>
    <row r="38" spans="2:45" ht="12" customHeight="1" x14ac:dyDescent="0.2">
      <c r="B38" s="53" t="s">
        <v>80</v>
      </c>
      <c r="C38" s="48" t="s">
        <v>81</v>
      </c>
      <c r="D38" s="49">
        <v>1</v>
      </c>
      <c r="E38" s="49" t="s">
        <v>65</v>
      </c>
      <c r="F38" s="124">
        <v>50448</v>
      </c>
      <c r="G38" s="124">
        <f t="shared" si="73"/>
        <v>50448</v>
      </c>
      <c r="I38" s="135">
        <f t="shared" si="40"/>
        <v>186870</v>
      </c>
      <c r="J38" s="187">
        <v>186870</v>
      </c>
      <c r="K38" s="187"/>
      <c r="L38" s="187"/>
      <c r="M38" s="187"/>
      <c r="N38" s="187">
        <v>186870</v>
      </c>
      <c r="O38" s="187">
        <f t="shared" si="74"/>
        <v>186870</v>
      </c>
      <c r="P38" s="187"/>
      <c r="Q38" s="187"/>
      <c r="R38" s="187"/>
      <c r="S38" s="187"/>
      <c r="T38" s="187">
        <f t="shared" si="75"/>
        <v>0</v>
      </c>
      <c r="U38" s="187"/>
      <c r="V38" s="187"/>
      <c r="W38" s="187"/>
      <c r="X38" s="187"/>
      <c r="Y38" s="187">
        <f t="shared" si="76"/>
        <v>0</v>
      </c>
      <c r="Z38" s="187"/>
      <c r="AA38" s="187"/>
      <c r="AB38" s="187"/>
      <c r="AC38" s="187"/>
      <c r="AD38" s="187">
        <f t="shared" si="77"/>
        <v>0</v>
      </c>
      <c r="AE38" s="187"/>
      <c r="AF38" s="187"/>
      <c r="AG38" s="187"/>
      <c r="AH38" s="187"/>
      <c r="AI38" s="187">
        <f t="shared" si="78"/>
        <v>0</v>
      </c>
      <c r="AJ38" s="187"/>
      <c r="AK38" s="187"/>
      <c r="AL38" s="187"/>
      <c r="AM38" s="187"/>
      <c r="AN38" s="187">
        <f t="shared" si="79"/>
        <v>0</v>
      </c>
      <c r="AO38" s="187"/>
      <c r="AP38" s="187"/>
      <c r="AQ38" s="187"/>
      <c r="AR38" s="187"/>
      <c r="AS38" s="187">
        <f t="shared" si="80"/>
        <v>0</v>
      </c>
    </row>
    <row r="39" spans="2:45" ht="12" customHeight="1" x14ac:dyDescent="0.2">
      <c r="B39" s="44" t="s">
        <v>82</v>
      </c>
      <c r="C39" s="45" t="s">
        <v>83</v>
      </c>
      <c r="D39" s="46">
        <f>SUM(D40)</f>
        <v>1</v>
      </c>
      <c r="E39" s="46">
        <f t="shared" ref="E39:AS39" si="81">SUM(E40)</f>
        <v>0</v>
      </c>
      <c r="F39" s="123">
        <f t="shared" si="81"/>
        <v>58546503</v>
      </c>
      <c r="G39" s="123">
        <f t="shared" si="81"/>
        <v>58546503</v>
      </c>
      <c r="I39" s="184">
        <f t="shared" si="81"/>
        <v>58546503</v>
      </c>
      <c r="J39" s="184">
        <f t="shared" si="81"/>
        <v>58546503</v>
      </c>
      <c r="K39" s="184">
        <f t="shared" si="81"/>
        <v>0</v>
      </c>
      <c r="L39" s="184">
        <f t="shared" si="81"/>
        <v>0</v>
      </c>
      <c r="M39" s="184">
        <f t="shared" si="81"/>
        <v>58546503</v>
      </c>
      <c r="N39" s="184">
        <f t="shared" si="81"/>
        <v>0</v>
      </c>
      <c r="O39" s="184">
        <f t="shared" si="81"/>
        <v>58546503</v>
      </c>
      <c r="P39" s="184">
        <f t="shared" si="81"/>
        <v>0</v>
      </c>
      <c r="Q39" s="184">
        <f t="shared" si="81"/>
        <v>0</v>
      </c>
      <c r="R39" s="184">
        <f t="shared" si="81"/>
        <v>0</v>
      </c>
      <c r="S39" s="184">
        <f t="shared" si="81"/>
        <v>0</v>
      </c>
      <c r="T39" s="184">
        <f t="shared" si="81"/>
        <v>0</v>
      </c>
      <c r="U39" s="184">
        <f t="shared" si="81"/>
        <v>0</v>
      </c>
      <c r="V39" s="184">
        <f t="shared" si="81"/>
        <v>0</v>
      </c>
      <c r="W39" s="184">
        <f t="shared" si="81"/>
        <v>0</v>
      </c>
      <c r="X39" s="184">
        <f t="shared" si="81"/>
        <v>0</v>
      </c>
      <c r="Y39" s="184">
        <f t="shared" si="81"/>
        <v>0</v>
      </c>
      <c r="Z39" s="184">
        <f t="shared" si="81"/>
        <v>0</v>
      </c>
      <c r="AA39" s="184">
        <f t="shared" si="81"/>
        <v>0</v>
      </c>
      <c r="AB39" s="184">
        <f t="shared" si="81"/>
        <v>0</v>
      </c>
      <c r="AC39" s="184">
        <f t="shared" si="81"/>
        <v>0</v>
      </c>
      <c r="AD39" s="184">
        <f t="shared" si="81"/>
        <v>0</v>
      </c>
      <c r="AE39" s="184">
        <f t="shared" si="81"/>
        <v>0</v>
      </c>
      <c r="AF39" s="184">
        <f t="shared" si="81"/>
        <v>0</v>
      </c>
      <c r="AG39" s="184">
        <f t="shared" si="81"/>
        <v>0</v>
      </c>
      <c r="AH39" s="184">
        <f t="shared" si="81"/>
        <v>0</v>
      </c>
      <c r="AI39" s="184">
        <f t="shared" si="81"/>
        <v>0</v>
      </c>
      <c r="AJ39" s="184">
        <f t="shared" si="81"/>
        <v>0</v>
      </c>
      <c r="AK39" s="184">
        <f t="shared" si="81"/>
        <v>0</v>
      </c>
      <c r="AL39" s="184">
        <f t="shared" si="81"/>
        <v>0</v>
      </c>
      <c r="AM39" s="184">
        <f t="shared" si="81"/>
        <v>0</v>
      </c>
      <c r="AN39" s="184">
        <f t="shared" si="81"/>
        <v>0</v>
      </c>
      <c r="AO39" s="184">
        <f t="shared" si="81"/>
        <v>0</v>
      </c>
      <c r="AP39" s="184">
        <f t="shared" si="81"/>
        <v>0</v>
      </c>
      <c r="AQ39" s="184">
        <f t="shared" si="81"/>
        <v>0</v>
      </c>
      <c r="AR39" s="184">
        <f t="shared" si="81"/>
        <v>0</v>
      </c>
      <c r="AS39" s="184">
        <f t="shared" si="81"/>
        <v>0</v>
      </c>
    </row>
    <row r="40" spans="2:45" ht="12" customHeight="1" x14ac:dyDescent="0.2">
      <c r="B40" s="47" t="s">
        <v>84</v>
      </c>
      <c r="C40" s="48" t="s">
        <v>85</v>
      </c>
      <c r="D40" s="49">
        <v>1</v>
      </c>
      <c r="E40" s="49" t="s">
        <v>37</v>
      </c>
      <c r="F40" s="124">
        <v>58546503</v>
      </c>
      <c r="G40" s="124">
        <f t="shared" si="73"/>
        <v>58546503</v>
      </c>
      <c r="I40" s="135">
        <f t="shared" si="40"/>
        <v>58546503</v>
      </c>
      <c r="J40" s="187">
        <v>58546503</v>
      </c>
      <c r="K40" s="187"/>
      <c r="L40" s="187"/>
      <c r="M40" s="187">
        <v>58546503</v>
      </c>
      <c r="N40" s="187"/>
      <c r="O40" s="187">
        <f>SUM(K40:N40)</f>
        <v>58546503</v>
      </c>
      <c r="P40" s="187"/>
      <c r="Q40" s="187"/>
      <c r="R40" s="187"/>
      <c r="S40" s="187"/>
      <c r="T40" s="187">
        <f>SUM(P40:S40)</f>
        <v>0</v>
      </c>
      <c r="U40" s="187"/>
      <c r="V40" s="187"/>
      <c r="W40" s="187"/>
      <c r="X40" s="187"/>
      <c r="Y40" s="187">
        <f>SUM(U40:X40)</f>
        <v>0</v>
      </c>
      <c r="Z40" s="187"/>
      <c r="AA40" s="187"/>
      <c r="AB40" s="187"/>
      <c r="AC40" s="187"/>
      <c r="AD40" s="187">
        <f>SUM(Z40:AC40)</f>
        <v>0</v>
      </c>
      <c r="AE40" s="187"/>
      <c r="AF40" s="187"/>
      <c r="AG40" s="187"/>
      <c r="AH40" s="187"/>
      <c r="AI40" s="187">
        <f>SUM(AE40:AH40)</f>
        <v>0</v>
      </c>
      <c r="AJ40" s="187"/>
      <c r="AK40" s="187"/>
      <c r="AL40" s="187"/>
      <c r="AM40" s="187"/>
      <c r="AN40" s="187">
        <f>SUM(AJ40:AM40)</f>
        <v>0</v>
      </c>
      <c r="AO40" s="187"/>
      <c r="AP40" s="187"/>
      <c r="AQ40" s="187"/>
      <c r="AR40" s="187"/>
      <c r="AS40" s="187">
        <f>SUM(AO40:AR40)</f>
        <v>0</v>
      </c>
    </row>
    <row r="41" spans="2:45" ht="12" customHeight="1" x14ac:dyDescent="0.2">
      <c r="B41" s="41">
        <v>3</v>
      </c>
      <c r="C41" s="56" t="s">
        <v>86</v>
      </c>
      <c r="D41" s="57"/>
      <c r="E41" s="57"/>
      <c r="F41" s="122"/>
      <c r="G41" s="122">
        <f>G42</f>
        <v>0</v>
      </c>
      <c r="I41" s="180">
        <f t="shared" ref="I41:AS41" si="82">I42</f>
        <v>17881010</v>
      </c>
      <c r="J41" s="180">
        <f t="shared" si="82"/>
        <v>4200000</v>
      </c>
      <c r="K41" s="180">
        <f t="shared" si="82"/>
        <v>0</v>
      </c>
      <c r="L41" s="180">
        <f t="shared" si="82"/>
        <v>0</v>
      </c>
      <c r="M41" s="180">
        <f t="shared" si="82"/>
        <v>0</v>
      </c>
      <c r="N41" s="180">
        <f t="shared" si="82"/>
        <v>0</v>
      </c>
      <c r="O41" s="180">
        <f t="shared" si="82"/>
        <v>0</v>
      </c>
      <c r="P41" s="180">
        <f t="shared" si="82"/>
        <v>1497410</v>
      </c>
      <c r="Q41" s="180">
        <f t="shared" si="82"/>
        <v>0</v>
      </c>
      <c r="R41" s="180">
        <f t="shared" si="82"/>
        <v>0</v>
      </c>
      <c r="S41" s="180">
        <f t="shared" si="82"/>
        <v>0</v>
      </c>
      <c r="T41" s="180">
        <f t="shared" si="82"/>
        <v>1497410</v>
      </c>
      <c r="U41" s="180">
        <f t="shared" si="82"/>
        <v>0</v>
      </c>
      <c r="V41" s="180">
        <f t="shared" si="82"/>
        <v>2235000</v>
      </c>
      <c r="W41" s="180">
        <f t="shared" si="82"/>
        <v>0</v>
      </c>
      <c r="X41" s="180">
        <f t="shared" si="82"/>
        <v>0</v>
      </c>
      <c r="Y41" s="180">
        <f t="shared" si="82"/>
        <v>2235000</v>
      </c>
      <c r="Z41" s="180">
        <f t="shared" si="82"/>
        <v>0</v>
      </c>
      <c r="AA41" s="180">
        <f t="shared" si="82"/>
        <v>0</v>
      </c>
      <c r="AB41" s="180">
        <f t="shared" si="82"/>
        <v>4716200</v>
      </c>
      <c r="AC41" s="180">
        <f t="shared" si="82"/>
        <v>0</v>
      </c>
      <c r="AD41" s="180">
        <f t="shared" si="82"/>
        <v>4716200</v>
      </c>
      <c r="AE41" s="180">
        <f t="shared" si="82"/>
        <v>0</v>
      </c>
      <c r="AF41" s="180">
        <f t="shared" si="82"/>
        <v>0</v>
      </c>
      <c r="AG41" s="180">
        <f t="shared" si="82"/>
        <v>4716200</v>
      </c>
      <c r="AH41" s="180">
        <f t="shared" si="82"/>
        <v>0</v>
      </c>
      <c r="AI41" s="180">
        <f t="shared" si="82"/>
        <v>4716200</v>
      </c>
      <c r="AJ41" s="180">
        <f t="shared" si="82"/>
        <v>0</v>
      </c>
      <c r="AK41" s="180">
        <f t="shared" si="82"/>
        <v>0</v>
      </c>
      <c r="AL41" s="180">
        <f t="shared" si="82"/>
        <v>4716200</v>
      </c>
      <c r="AM41" s="180">
        <f t="shared" si="82"/>
        <v>0</v>
      </c>
      <c r="AN41" s="180">
        <f t="shared" si="82"/>
        <v>4716200</v>
      </c>
      <c r="AO41" s="180">
        <f t="shared" si="82"/>
        <v>0</v>
      </c>
      <c r="AP41" s="180">
        <f t="shared" si="82"/>
        <v>0</v>
      </c>
      <c r="AQ41" s="180">
        <f t="shared" si="82"/>
        <v>4716200</v>
      </c>
      <c r="AR41" s="180">
        <f t="shared" si="82"/>
        <v>0</v>
      </c>
      <c r="AS41" s="180">
        <f t="shared" si="82"/>
        <v>4716200</v>
      </c>
    </row>
    <row r="42" spans="2:45" ht="12" customHeight="1" x14ac:dyDescent="0.2">
      <c r="B42" s="44" t="s">
        <v>87</v>
      </c>
      <c r="C42" s="45" t="s">
        <v>86</v>
      </c>
      <c r="D42" s="46"/>
      <c r="E42" s="46"/>
      <c r="F42" s="123"/>
      <c r="G42" s="123">
        <f>SUM(G43:G46)</f>
        <v>0</v>
      </c>
      <c r="I42" s="184">
        <f t="shared" ref="I42:AH42" si="83">SUM(I43:I46)</f>
        <v>17881010</v>
      </c>
      <c r="J42" s="184">
        <f t="shared" si="83"/>
        <v>4200000</v>
      </c>
      <c r="K42" s="184">
        <f t="shared" si="83"/>
        <v>0</v>
      </c>
      <c r="L42" s="184">
        <f t="shared" si="83"/>
        <v>0</v>
      </c>
      <c r="M42" s="184">
        <f t="shared" si="83"/>
        <v>0</v>
      </c>
      <c r="N42" s="184">
        <f t="shared" si="83"/>
        <v>0</v>
      </c>
      <c r="O42" s="184">
        <f t="shared" si="83"/>
        <v>0</v>
      </c>
      <c r="P42" s="184">
        <f t="shared" si="83"/>
        <v>1497410</v>
      </c>
      <c r="Q42" s="184">
        <f t="shared" si="83"/>
        <v>0</v>
      </c>
      <c r="R42" s="184">
        <f t="shared" si="83"/>
        <v>0</v>
      </c>
      <c r="S42" s="184">
        <f t="shared" si="83"/>
        <v>0</v>
      </c>
      <c r="T42" s="184">
        <f t="shared" ref="T42" si="84">SUM(T43:T46)</f>
        <v>1497410</v>
      </c>
      <c r="U42" s="184">
        <f t="shared" si="83"/>
        <v>0</v>
      </c>
      <c r="V42" s="184">
        <f t="shared" si="83"/>
        <v>2235000</v>
      </c>
      <c r="W42" s="184">
        <f t="shared" si="83"/>
        <v>0</v>
      </c>
      <c r="X42" s="184">
        <f t="shared" si="83"/>
        <v>0</v>
      </c>
      <c r="Y42" s="184">
        <f t="shared" ref="Y42" si="85">SUM(Y43:Y46)</f>
        <v>2235000</v>
      </c>
      <c r="Z42" s="184">
        <f t="shared" si="83"/>
        <v>0</v>
      </c>
      <c r="AA42" s="184">
        <f t="shared" si="83"/>
        <v>0</v>
      </c>
      <c r="AB42" s="184">
        <f t="shared" si="83"/>
        <v>4716200</v>
      </c>
      <c r="AC42" s="184">
        <f t="shared" si="83"/>
        <v>0</v>
      </c>
      <c r="AD42" s="184">
        <f t="shared" ref="AD42" si="86">SUM(AD43:AD46)</f>
        <v>4716200</v>
      </c>
      <c r="AE42" s="184">
        <f t="shared" si="83"/>
        <v>0</v>
      </c>
      <c r="AF42" s="184">
        <f t="shared" si="83"/>
        <v>0</v>
      </c>
      <c r="AG42" s="184">
        <f t="shared" si="83"/>
        <v>4716200</v>
      </c>
      <c r="AH42" s="184">
        <f t="shared" si="83"/>
        <v>0</v>
      </c>
      <c r="AI42" s="184">
        <f t="shared" ref="AI42:AM42" si="87">SUM(AI43:AI46)</f>
        <v>4716200</v>
      </c>
      <c r="AJ42" s="184">
        <f t="shared" si="87"/>
        <v>0</v>
      </c>
      <c r="AK42" s="184">
        <f t="shared" si="87"/>
        <v>0</v>
      </c>
      <c r="AL42" s="184">
        <f t="shared" si="87"/>
        <v>4716200</v>
      </c>
      <c r="AM42" s="184">
        <f t="shared" si="87"/>
        <v>0</v>
      </c>
      <c r="AN42" s="184">
        <f t="shared" ref="AN42:AR42" si="88">SUM(AN43:AN46)</f>
        <v>4716200</v>
      </c>
      <c r="AO42" s="184">
        <f t="shared" si="88"/>
        <v>0</v>
      </c>
      <c r="AP42" s="184">
        <f t="shared" si="88"/>
        <v>0</v>
      </c>
      <c r="AQ42" s="184">
        <f t="shared" si="88"/>
        <v>4716200</v>
      </c>
      <c r="AR42" s="184">
        <f t="shared" si="88"/>
        <v>0</v>
      </c>
      <c r="AS42" s="184">
        <f t="shared" ref="AS42" si="89">SUM(AS43:AS46)</f>
        <v>4716200</v>
      </c>
    </row>
    <row r="43" spans="2:45" ht="12" customHeight="1" x14ac:dyDescent="0.2">
      <c r="B43" s="47" t="s">
        <v>88</v>
      </c>
      <c r="C43" s="48" t="s">
        <v>89</v>
      </c>
      <c r="D43" s="49"/>
      <c r="E43" s="49"/>
      <c r="F43" s="124"/>
      <c r="G43" s="124"/>
      <c r="I43" s="135">
        <f t="shared" ref="I43:I46" si="90">(O43+T43+Y43+AD43+AI43+AN43)</f>
        <v>9048000</v>
      </c>
      <c r="J43" s="187">
        <v>1237600</v>
      </c>
      <c r="K43" s="187"/>
      <c r="L43" s="187"/>
      <c r="M43" s="187"/>
      <c r="N43" s="187"/>
      <c r="O43" s="187">
        <f t="shared" ref="O43:O46" si="91">SUM(K43:N43)</f>
        <v>0</v>
      </c>
      <c r="P43" s="187">
        <v>500000</v>
      </c>
      <c r="Q43" s="187"/>
      <c r="R43" s="187"/>
      <c r="S43" s="187"/>
      <c r="T43" s="187">
        <f t="shared" ref="T43:T46" si="92">SUM(P43:S43)</f>
        <v>500000</v>
      </c>
      <c r="U43" s="187"/>
      <c r="V43" s="187">
        <v>1348000</v>
      </c>
      <c r="W43" s="187"/>
      <c r="X43" s="187"/>
      <c r="Y43" s="187">
        <f t="shared" ref="Y43:Y46" si="93">SUM(U43:X43)</f>
        <v>1348000</v>
      </c>
      <c r="Z43" s="187"/>
      <c r="AA43" s="187"/>
      <c r="AB43" s="187">
        <v>2400000</v>
      </c>
      <c r="AC43" s="187"/>
      <c r="AD43" s="187">
        <f t="shared" ref="AD43:AD46" si="94">SUM(Z43:AC43)</f>
        <v>2400000</v>
      </c>
      <c r="AE43" s="187"/>
      <c r="AF43" s="187"/>
      <c r="AG43" s="187">
        <v>2400000</v>
      </c>
      <c r="AH43" s="187"/>
      <c r="AI43" s="187">
        <f t="shared" ref="AI43:AI46" si="95">SUM(AE43:AH43)</f>
        <v>2400000</v>
      </c>
      <c r="AJ43" s="187"/>
      <c r="AK43" s="187"/>
      <c r="AL43" s="187">
        <v>2400000</v>
      </c>
      <c r="AM43" s="187"/>
      <c r="AN43" s="187">
        <f t="shared" ref="AN43:AN46" si="96">SUM(AJ43:AM43)</f>
        <v>2400000</v>
      </c>
      <c r="AO43" s="187"/>
      <c r="AP43" s="187"/>
      <c r="AQ43" s="187">
        <v>2400000</v>
      </c>
      <c r="AR43" s="187"/>
      <c r="AS43" s="187">
        <f t="shared" ref="AS43:AS46" si="97">SUM(AO43:AR43)</f>
        <v>2400000</v>
      </c>
    </row>
    <row r="44" spans="2:45" ht="12" customHeight="1" x14ac:dyDescent="0.2">
      <c r="B44" s="47" t="s">
        <v>90</v>
      </c>
      <c r="C44" s="48" t="s">
        <v>91</v>
      </c>
      <c r="D44" s="49"/>
      <c r="E44" s="49"/>
      <c r="F44" s="124"/>
      <c r="G44" s="124"/>
      <c r="I44" s="135">
        <f t="shared" si="90"/>
        <v>586500</v>
      </c>
      <c r="J44" s="187">
        <v>292400</v>
      </c>
      <c r="K44" s="187"/>
      <c r="L44" s="187"/>
      <c r="M44" s="187"/>
      <c r="N44" s="187"/>
      <c r="O44" s="187">
        <f t="shared" si="91"/>
        <v>0</v>
      </c>
      <c r="P44" s="187">
        <v>147900</v>
      </c>
      <c r="Q44" s="187"/>
      <c r="R44" s="187"/>
      <c r="S44" s="187"/>
      <c r="T44" s="187">
        <f t="shared" si="92"/>
        <v>147900</v>
      </c>
      <c r="U44" s="187"/>
      <c r="V44" s="187"/>
      <c r="W44" s="187"/>
      <c r="X44" s="187"/>
      <c r="Y44" s="187">
        <f t="shared" si="93"/>
        <v>0</v>
      </c>
      <c r="Z44" s="187"/>
      <c r="AA44" s="187"/>
      <c r="AB44" s="187">
        <v>146200</v>
      </c>
      <c r="AC44" s="187"/>
      <c r="AD44" s="187">
        <f t="shared" si="94"/>
        <v>146200</v>
      </c>
      <c r="AE44" s="187"/>
      <c r="AF44" s="187"/>
      <c r="AG44" s="187">
        <v>146200</v>
      </c>
      <c r="AH44" s="187"/>
      <c r="AI44" s="187">
        <f t="shared" si="95"/>
        <v>146200</v>
      </c>
      <c r="AJ44" s="187"/>
      <c r="AK44" s="187"/>
      <c r="AL44" s="187">
        <v>146200</v>
      </c>
      <c r="AM44" s="187"/>
      <c r="AN44" s="187">
        <f t="shared" si="96"/>
        <v>146200</v>
      </c>
      <c r="AO44" s="187"/>
      <c r="AP44" s="187"/>
      <c r="AQ44" s="187">
        <v>146200</v>
      </c>
      <c r="AR44" s="187"/>
      <c r="AS44" s="187">
        <f t="shared" si="97"/>
        <v>146200</v>
      </c>
    </row>
    <row r="45" spans="2:45" ht="12" customHeight="1" x14ac:dyDescent="0.2">
      <c r="B45" s="47" t="s">
        <v>92</v>
      </c>
      <c r="C45" s="48" t="s">
        <v>93</v>
      </c>
      <c r="D45" s="49"/>
      <c r="E45" s="49"/>
      <c r="F45" s="124"/>
      <c r="G45" s="124"/>
      <c r="I45" s="135">
        <f t="shared" si="90"/>
        <v>1539510</v>
      </c>
      <c r="J45" s="187">
        <v>2190000</v>
      </c>
      <c r="K45" s="187"/>
      <c r="L45" s="187"/>
      <c r="M45" s="187"/>
      <c r="N45" s="187"/>
      <c r="O45" s="187">
        <f t="shared" si="91"/>
        <v>0</v>
      </c>
      <c r="P45" s="187">
        <v>609510</v>
      </c>
      <c r="Q45" s="187"/>
      <c r="R45" s="187"/>
      <c r="S45" s="187"/>
      <c r="T45" s="187">
        <f t="shared" si="92"/>
        <v>609510</v>
      </c>
      <c r="U45" s="187"/>
      <c r="V45" s="187"/>
      <c r="W45" s="187"/>
      <c r="X45" s="187"/>
      <c r="Y45" s="187">
        <f t="shared" si="93"/>
        <v>0</v>
      </c>
      <c r="Z45" s="187"/>
      <c r="AA45" s="187"/>
      <c r="AB45" s="187">
        <v>310000</v>
      </c>
      <c r="AC45" s="187"/>
      <c r="AD45" s="187">
        <f t="shared" si="94"/>
        <v>310000</v>
      </c>
      <c r="AE45" s="187"/>
      <c r="AF45" s="187"/>
      <c r="AG45" s="187">
        <v>310000</v>
      </c>
      <c r="AH45" s="187"/>
      <c r="AI45" s="187">
        <f t="shared" si="95"/>
        <v>310000</v>
      </c>
      <c r="AJ45" s="187"/>
      <c r="AK45" s="187"/>
      <c r="AL45" s="187">
        <v>310000</v>
      </c>
      <c r="AM45" s="187"/>
      <c r="AN45" s="187">
        <f t="shared" si="96"/>
        <v>310000</v>
      </c>
      <c r="AO45" s="187"/>
      <c r="AP45" s="187"/>
      <c r="AQ45" s="187">
        <v>310000</v>
      </c>
      <c r="AR45" s="187"/>
      <c r="AS45" s="187">
        <f t="shared" si="97"/>
        <v>310000</v>
      </c>
    </row>
    <row r="46" spans="2:45" ht="12" customHeight="1" x14ac:dyDescent="0.2">
      <c r="B46" s="47" t="s">
        <v>94</v>
      </c>
      <c r="C46" s="48" t="s">
        <v>95</v>
      </c>
      <c r="D46" s="49"/>
      <c r="E46" s="49"/>
      <c r="F46" s="124"/>
      <c r="G46" s="124"/>
      <c r="I46" s="135">
        <f t="shared" si="90"/>
        <v>6707000</v>
      </c>
      <c r="J46" s="187">
        <v>480000</v>
      </c>
      <c r="K46" s="187"/>
      <c r="L46" s="187"/>
      <c r="M46" s="187"/>
      <c r="N46" s="187"/>
      <c r="O46" s="187">
        <f t="shared" si="91"/>
        <v>0</v>
      </c>
      <c r="P46" s="187">
        <v>240000</v>
      </c>
      <c r="Q46" s="187"/>
      <c r="R46" s="187"/>
      <c r="S46" s="187"/>
      <c r="T46" s="187">
        <f t="shared" si="92"/>
        <v>240000</v>
      </c>
      <c r="U46" s="187"/>
      <c r="V46" s="187">
        <v>887000</v>
      </c>
      <c r="W46" s="187"/>
      <c r="X46" s="187"/>
      <c r="Y46" s="187">
        <f t="shared" si="93"/>
        <v>887000</v>
      </c>
      <c r="Z46" s="187"/>
      <c r="AA46" s="187"/>
      <c r="AB46" s="187">
        <v>1860000</v>
      </c>
      <c r="AC46" s="187"/>
      <c r="AD46" s="187">
        <f t="shared" si="94"/>
        <v>1860000</v>
      </c>
      <c r="AE46" s="187"/>
      <c r="AF46" s="187"/>
      <c r="AG46" s="187">
        <v>1860000</v>
      </c>
      <c r="AH46" s="187"/>
      <c r="AI46" s="187">
        <f t="shared" si="95"/>
        <v>1860000</v>
      </c>
      <c r="AJ46" s="187"/>
      <c r="AK46" s="187"/>
      <c r="AL46" s="187">
        <v>1860000</v>
      </c>
      <c r="AM46" s="187"/>
      <c r="AN46" s="187">
        <f t="shared" si="96"/>
        <v>1860000</v>
      </c>
      <c r="AO46" s="187"/>
      <c r="AP46" s="187"/>
      <c r="AQ46" s="187">
        <v>1860000</v>
      </c>
      <c r="AR46" s="187"/>
      <c r="AS46" s="187">
        <f t="shared" si="97"/>
        <v>1860000</v>
      </c>
    </row>
    <row r="47" spans="2:45" ht="12" customHeight="1" x14ac:dyDescent="0.2">
      <c r="B47" s="41">
        <v>4</v>
      </c>
      <c r="C47" s="56" t="s">
        <v>96</v>
      </c>
      <c r="D47" s="57"/>
      <c r="E47" s="57"/>
      <c r="F47" s="122"/>
      <c r="G47" s="122">
        <f>G48</f>
        <v>0</v>
      </c>
      <c r="I47" s="180">
        <f t="shared" ref="I47:AJ48" si="98">I48</f>
        <v>11448635.5</v>
      </c>
      <c r="J47" s="180">
        <f t="shared" si="98"/>
        <v>11448635</v>
      </c>
      <c r="K47" s="180">
        <f t="shared" si="98"/>
        <v>0</v>
      </c>
      <c r="L47" s="180">
        <f t="shared" si="98"/>
        <v>0</v>
      </c>
      <c r="M47" s="180">
        <f t="shared" si="98"/>
        <v>0</v>
      </c>
      <c r="N47" s="180">
        <f t="shared" si="98"/>
        <v>0</v>
      </c>
      <c r="O47" s="180">
        <f t="shared" si="98"/>
        <v>0</v>
      </c>
      <c r="P47" s="180">
        <f t="shared" si="98"/>
        <v>0</v>
      </c>
      <c r="Q47" s="180">
        <f t="shared" si="98"/>
        <v>0</v>
      </c>
      <c r="R47" s="180">
        <f t="shared" si="98"/>
        <v>0</v>
      </c>
      <c r="S47" s="180">
        <f t="shared" si="98"/>
        <v>0</v>
      </c>
      <c r="T47" s="180">
        <f t="shared" si="98"/>
        <v>0</v>
      </c>
      <c r="U47" s="180">
        <f t="shared" si="98"/>
        <v>0</v>
      </c>
      <c r="V47" s="180">
        <f t="shared" si="98"/>
        <v>0</v>
      </c>
      <c r="W47" s="180">
        <f t="shared" si="98"/>
        <v>0</v>
      </c>
      <c r="X47" s="180">
        <f t="shared" si="98"/>
        <v>0</v>
      </c>
      <c r="Y47" s="180">
        <f t="shared" si="98"/>
        <v>0</v>
      </c>
      <c r="Z47" s="180">
        <f t="shared" si="98"/>
        <v>0</v>
      </c>
      <c r="AA47" s="180">
        <f t="shared" si="98"/>
        <v>0</v>
      </c>
      <c r="AB47" s="180">
        <f t="shared" si="98"/>
        <v>0</v>
      </c>
      <c r="AC47" s="180">
        <f t="shared" si="98"/>
        <v>0</v>
      </c>
      <c r="AD47" s="180">
        <f t="shared" si="98"/>
        <v>0</v>
      </c>
      <c r="AE47" s="180">
        <f t="shared" si="98"/>
        <v>0</v>
      </c>
      <c r="AF47" s="180">
        <f t="shared" si="98"/>
        <v>5724317.5</v>
      </c>
      <c r="AG47" s="180">
        <f t="shared" si="98"/>
        <v>0</v>
      </c>
      <c r="AH47" s="180">
        <f t="shared" si="98"/>
        <v>5724318</v>
      </c>
      <c r="AI47" s="180">
        <f t="shared" si="98"/>
        <v>11448635.5</v>
      </c>
      <c r="AJ47" s="180">
        <f t="shared" si="98"/>
        <v>0</v>
      </c>
      <c r="AK47" s="180">
        <f t="shared" ref="AJ47:AS48" si="99">AK48</f>
        <v>0</v>
      </c>
      <c r="AL47" s="180">
        <f t="shared" si="99"/>
        <v>0</v>
      </c>
      <c r="AM47" s="180">
        <f t="shared" si="99"/>
        <v>0</v>
      </c>
      <c r="AN47" s="180">
        <f t="shared" si="99"/>
        <v>0</v>
      </c>
      <c r="AO47" s="180">
        <f t="shared" si="99"/>
        <v>0</v>
      </c>
      <c r="AP47" s="180">
        <f t="shared" si="99"/>
        <v>0</v>
      </c>
      <c r="AQ47" s="180">
        <f t="shared" si="99"/>
        <v>0</v>
      </c>
      <c r="AR47" s="180">
        <f t="shared" si="99"/>
        <v>0</v>
      </c>
      <c r="AS47" s="180">
        <f t="shared" si="99"/>
        <v>0</v>
      </c>
    </row>
    <row r="48" spans="2:45" ht="12" customHeight="1" x14ac:dyDescent="0.2">
      <c r="B48" s="44" t="s">
        <v>97</v>
      </c>
      <c r="C48" s="45" t="s">
        <v>98</v>
      </c>
      <c r="D48" s="46"/>
      <c r="E48" s="46"/>
      <c r="F48" s="123"/>
      <c r="G48" s="123">
        <f>G49</f>
        <v>0</v>
      </c>
      <c r="I48" s="184">
        <f t="shared" si="98"/>
        <v>11448635.5</v>
      </c>
      <c r="J48" s="184">
        <f t="shared" si="98"/>
        <v>11448635</v>
      </c>
      <c r="K48" s="184">
        <f t="shared" si="98"/>
        <v>0</v>
      </c>
      <c r="L48" s="184">
        <f t="shared" si="98"/>
        <v>0</v>
      </c>
      <c r="M48" s="184">
        <f t="shared" si="98"/>
        <v>0</v>
      </c>
      <c r="N48" s="184">
        <f t="shared" si="98"/>
        <v>0</v>
      </c>
      <c r="O48" s="184">
        <f t="shared" si="98"/>
        <v>0</v>
      </c>
      <c r="P48" s="184">
        <f t="shared" si="98"/>
        <v>0</v>
      </c>
      <c r="Q48" s="184">
        <f t="shared" si="98"/>
        <v>0</v>
      </c>
      <c r="R48" s="184">
        <f t="shared" si="98"/>
        <v>0</v>
      </c>
      <c r="S48" s="184">
        <f t="shared" si="98"/>
        <v>0</v>
      </c>
      <c r="T48" s="184">
        <f t="shared" si="98"/>
        <v>0</v>
      </c>
      <c r="U48" s="184">
        <f t="shared" si="98"/>
        <v>0</v>
      </c>
      <c r="V48" s="184">
        <f t="shared" si="98"/>
        <v>0</v>
      </c>
      <c r="W48" s="184">
        <f t="shared" si="98"/>
        <v>0</v>
      </c>
      <c r="X48" s="184">
        <f t="shared" si="98"/>
        <v>0</v>
      </c>
      <c r="Y48" s="184">
        <f t="shared" si="98"/>
        <v>0</v>
      </c>
      <c r="Z48" s="184">
        <f t="shared" si="98"/>
        <v>0</v>
      </c>
      <c r="AA48" s="184">
        <f t="shared" si="98"/>
        <v>0</v>
      </c>
      <c r="AB48" s="184">
        <f t="shared" si="98"/>
        <v>0</v>
      </c>
      <c r="AC48" s="184">
        <f t="shared" si="98"/>
        <v>0</v>
      </c>
      <c r="AD48" s="184">
        <f t="shared" si="98"/>
        <v>0</v>
      </c>
      <c r="AE48" s="184">
        <f t="shared" si="98"/>
        <v>0</v>
      </c>
      <c r="AF48" s="184">
        <f t="shared" si="98"/>
        <v>5724317.5</v>
      </c>
      <c r="AG48" s="184">
        <f t="shared" si="98"/>
        <v>0</v>
      </c>
      <c r="AH48" s="184">
        <f t="shared" si="98"/>
        <v>5724318</v>
      </c>
      <c r="AI48" s="184">
        <f t="shared" si="98"/>
        <v>11448635.5</v>
      </c>
      <c r="AJ48" s="184">
        <f t="shared" si="99"/>
        <v>0</v>
      </c>
      <c r="AK48" s="184">
        <f t="shared" si="99"/>
        <v>0</v>
      </c>
      <c r="AL48" s="184">
        <f t="shared" si="99"/>
        <v>0</v>
      </c>
      <c r="AM48" s="184">
        <f t="shared" si="99"/>
        <v>0</v>
      </c>
      <c r="AN48" s="184">
        <f t="shared" si="99"/>
        <v>0</v>
      </c>
      <c r="AO48" s="184">
        <f t="shared" si="99"/>
        <v>0</v>
      </c>
      <c r="AP48" s="184">
        <f t="shared" si="99"/>
        <v>0</v>
      </c>
      <c r="AQ48" s="184">
        <f t="shared" si="99"/>
        <v>0</v>
      </c>
      <c r="AR48" s="184">
        <f t="shared" si="99"/>
        <v>0</v>
      </c>
      <c r="AS48" s="184">
        <f t="shared" si="99"/>
        <v>0</v>
      </c>
    </row>
    <row r="49" spans="2:47" ht="12" customHeight="1" x14ac:dyDescent="0.2">
      <c r="B49" s="127" t="s">
        <v>99</v>
      </c>
      <c r="C49" s="118" t="s">
        <v>98</v>
      </c>
      <c r="D49" s="128"/>
      <c r="E49" s="128"/>
      <c r="F49" s="129"/>
      <c r="G49" s="124"/>
      <c r="I49" s="135">
        <f t="shared" ref="I49" si="100">(O49+T49+Y49+AD49+AI49+AN49)</f>
        <v>11448635.5</v>
      </c>
      <c r="J49" s="187">
        <v>11448635</v>
      </c>
      <c r="K49" s="187"/>
      <c r="L49" s="187"/>
      <c r="M49" s="187"/>
      <c r="N49" s="187"/>
      <c r="O49" s="187">
        <f>SUM(K49:N49)</f>
        <v>0</v>
      </c>
      <c r="P49" s="187"/>
      <c r="Q49" s="187"/>
      <c r="R49" s="187"/>
      <c r="S49" s="187"/>
      <c r="T49" s="187">
        <f>SUM(P49:S49)</f>
        <v>0</v>
      </c>
      <c r="U49" s="187"/>
      <c r="V49" s="187"/>
      <c r="W49" s="187"/>
      <c r="X49" s="187"/>
      <c r="Y49" s="187">
        <f>SUM(U49:X49)</f>
        <v>0</v>
      </c>
      <c r="Z49" s="187"/>
      <c r="AA49" s="187"/>
      <c r="AB49" s="187"/>
      <c r="AC49" s="187"/>
      <c r="AD49" s="187">
        <f>SUM(Z49:AC49)</f>
        <v>0</v>
      </c>
      <c r="AE49" s="187"/>
      <c r="AF49" s="187">
        <v>5724317.5</v>
      </c>
      <c r="AG49" s="187"/>
      <c r="AH49" s="187">
        <v>5724318</v>
      </c>
      <c r="AI49" s="187">
        <f>SUM(AE49:AH49)</f>
        <v>11448635.5</v>
      </c>
      <c r="AJ49" s="187"/>
      <c r="AK49" s="187"/>
      <c r="AL49" s="187"/>
      <c r="AM49" s="187"/>
      <c r="AN49" s="187">
        <f>SUM(AJ49:AM49)</f>
        <v>0</v>
      </c>
      <c r="AO49" s="187"/>
      <c r="AP49" s="187"/>
      <c r="AQ49" s="187"/>
      <c r="AR49" s="187"/>
      <c r="AS49" s="187">
        <f>SUM(AO49:AR49)</f>
        <v>0</v>
      </c>
    </row>
    <row r="50" spans="2:47" ht="12" customHeight="1" x14ac:dyDescent="0.2">
      <c r="B50" s="41">
        <v>5</v>
      </c>
      <c r="C50" s="56" t="s">
        <v>100</v>
      </c>
      <c r="D50" s="57"/>
      <c r="E50" s="57"/>
      <c r="F50" s="122"/>
      <c r="G50" s="122">
        <f>SUM(G51)</f>
        <v>0</v>
      </c>
      <c r="I50" s="180">
        <f>SUM(I51)</f>
        <v>243444435.63999999</v>
      </c>
      <c r="J50" s="180">
        <f t="shared" ref="J50:AS50" si="101">SUM(J51)</f>
        <v>2045743.2799999998</v>
      </c>
      <c r="K50" s="251">
        <f t="shared" si="101"/>
        <v>0</v>
      </c>
      <c r="L50" s="251">
        <f t="shared" si="101"/>
        <v>0</v>
      </c>
      <c r="M50" s="251">
        <f t="shared" si="101"/>
        <v>0</v>
      </c>
      <c r="N50" s="251">
        <f t="shared" si="101"/>
        <v>0</v>
      </c>
      <c r="O50" s="251">
        <f t="shared" si="101"/>
        <v>0</v>
      </c>
      <c r="P50" s="251">
        <f t="shared" si="101"/>
        <v>0</v>
      </c>
      <c r="Q50" s="251">
        <f t="shared" si="101"/>
        <v>48</v>
      </c>
      <c r="R50" s="251">
        <f t="shared" si="101"/>
        <v>0</v>
      </c>
      <c r="S50" s="251">
        <f t="shared" si="101"/>
        <v>102</v>
      </c>
      <c r="T50" s="251">
        <f t="shared" si="101"/>
        <v>150</v>
      </c>
      <c r="U50" s="251">
        <f t="shared" si="101"/>
        <v>0</v>
      </c>
      <c r="V50" s="251">
        <f t="shared" si="101"/>
        <v>0</v>
      </c>
      <c r="W50" s="251">
        <f t="shared" si="101"/>
        <v>0</v>
      </c>
      <c r="X50" s="251">
        <f t="shared" si="101"/>
        <v>0</v>
      </c>
      <c r="Y50" s="251">
        <f t="shared" si="101"/>
        <v>0</v>
      </c>
      <c r="Z50" s="251">
        <f t="shared" si="101"/>
        <v>0</v>
      </c>
      <c r="AA50" s="251">
        <f t="shared" si="101"/>
        <v>164</v>
      </c>
      <c r="AB50" s="251">
        <f t="shared" si="101"/>
        <v>0</v>
      </c>
      <c r="AC50" s="251">
        <f t="shared" si="101"/>
        <v>0</v>
      </c>
      <c r="AD50" s="251">
        <f t="shared" si="101"/>
        <v>164</v>
      </c>
      <c r="AE50" s="251">
        <f t="shared" si="101"/>
        <v>0</v>
      </c>
      <c r="AF50" s="251">
        <f t="shared" si="101"/>
        <v>0</v>
      </c>
      <c r="AG50" s="251">
        <f t="shared" si="101"/>
        <v>0</v>
      </c>
      <c r="AH50" s="251">
        <f t="shared" si="101"/>
        <v>0</v>
      </c>
      <c r="AI50" s="251">
        <f t="shared" si="101"/>
        <v>0</v>
      </c>
      <c r="AJ50" s="251">
        <f t="shared" si="101"/>
        <v>0</v>
      </c>
      <c r="AK50" s="251">
        <f t="shared" si="101"/>
        <v>0</v>
      </c>
      <c r="AL50" s="251">
        <f t="shared" si="101"/>
        <v>0</v>
      </c>
      <c r="AM50" s="251">
        <f t="shared" si="101"/>
        <v>0</v>
      </c>
      <c r="AN50" s="251">
        <f t="shared" si="101"/>
        <v>0</v>
      </c>
      <c r="AO50" s="251">
        <f t="shared" si="101"/>
        <v>0</v>
      </c>
      <c r="AP50" s="251">
        <f t="shared" si="101"/>
        <v>0</v>
      </c>
      <c r="AQ50" s="251">
        <f t="shared" si="101"/>
        <v>0</v>
      </c>
      <c r="AR50" s="251">
        <f t="shared" si="101"/>
        <v>0</v>
      </c>
      <c r="AS50" s="251">
        <f t="shared" si="101"/>
        <v>0</v>
      </c>
    </row>
    <row r="51" spans="2:47" ht="12" customHeight="1" x14ac:dyDescent="0.2">
      <c r="B51" s="44" t="s">
        <v>101</v>
      </c>
      <c r="C51" s="45" t="s">
        <v>102</v>
      </c>
      <c r="D51" s="46"/>
      <c r="E51" s="46"/>
      <c r="F51" s="123"/>
      <c r="G51" s="123">
        <f>G53</f>
        <v>0</v>
      </c>
      <c r="I51" s="184">
        <f>I52+I56</f>
        <v>243444435.63999999</v>
      </c>
      <c r="J51" s="184">
        <f>J52+J56</f>
        <v>2045743.2799999998</v>
      </c>
      <c r="K51" s="252">
        <f t="shared" ref="K51:AH51" si="102">K52+K56</f>
        <v>0</v>
      </c>
      <c r="L51" s="252">
        <f t="shared" si="102"/>
        <v>0</v>
      </c>
      <c r="M51" s="252">
        <f t="shared" si="102"/>
        <v>0</v>
      </c>
      <c r="N51" s="252">
        <f t="shared" si="102"/>
        <v>0</v>
      </c>
      <c r="O51" s="252">
        <f t="shared" si="102"/>
        <v>0</v>
      </c>
      <c r="P51" s="252">
        <f t="shared" si="102"/>
        <v>0</v>
      </c>
      <c r="Q51" s="252">
        <f t="shared" si="102"/>
        <v>48</v>
      </c>
      <c r="R51" s="252">
        <f t="shared" si="102"/>
        <v>0</v>
      </c>
      <c r="S51" s="252">
        <f t="shared" si="102"/>
        <v>102</v>
      </c>
      <c r="T51" s="252">
        <f t="shared" ref="T51" si="103">T52+T56</f>
        <v>150</v>
      </c>
      <c r="U51" s="252">
        <f t="shared" si="102"/>
        <v>0</v>
      </c>
      <c r="V51" s="252">
        <f t="shared" si="102"/>
        <v>0</v>
      </c>
      <c r="W51" s="252">
        <f t="shared" si="102"/>
        <v>0</v>
      </c>
      <c r="X51" s="252">
        <f t="shared" si="102"/>
        <v>0</v>
      </c>
      <c r="Y51" s="252">
        <f t="shared" ref="Y51" si="104">Y52+Y56</f>
        <v>0</v>
      </c>
      <c r="Z51" s="252">
        <f t="shared" si="102"/>
        <v>0</v>
      </c>
      <c r="AA51" s="252">
        <f t="shared" si="102"/>
        <v>164</v>
      </c>
      <c r="AB51" s="252">
        <f t="shared" si="102"/>
        <v>0</v>
      </c>
      <c r="AC51" s="252">
        <f t="shared" si="102"/>
        <v>0</v>
      </c>
      <c r="AD51" s="252">
        <f t="shared" ref="AD51" si="105">AD52+AD56</f>
        <v>164</v>
      </c>
      <c r="AE51" s="252">
        <f t="shared" si="102"/>
        <v>0</v>
      </c>
      <c r="AF51" s="252">
        <f t="shared" si="102"/>
        <v>0</v>
      </c>
      <c r="AG51" s="252">
        <f t="shared" si="102"/>
        <v>0</v>
      </c>
      <c r="AH51" s="252">
        <f t="shared" si="102"/>
        <v>0</v>
      </c>
      <c r="AI51" s="252">
        <f t="shared" ref="AI51:AM51" si="106">AI52+AI56</f>
        <v>0</v>
      </c>
      <c r="AJ51" s="252">
        <f t="shared" si="106"/>
        <v>0</v>
      </c>
      <c r="AK51" s="252">
        <f t="shared" si="106"/>
        <v>0</v>
      </c>
      <c r="AL51" s="252">
        <f t="shared" si="106"/>
        <v>0</v>
      </c>
      <c r="AM51" s="252">
        <f t="shared" si="106"/>
        <v>0</v>
      </c>
      <c r="AN51" s="252">
        <f t="shared" ref="AN51:AR51" si="107">AN52+AN56</f>
        <v>0</v>
      </c>
      <c r="AO51" s="252">
        <f t="shared" si="107"/>
        <v>0</v>
      </c>
      <c r="AP51" s="252">
        <f t="shared" si="107"/>
        <v>0</v>
      </c>
      <c r="AQ51" s="252">
        <f t="shared" si="107"/>
        <v>0</v>
      </c>
      <c r="AR51" s="252">
        <f t="shared" si="107"/>
        <v>0</v>
      </c>
      <c r="AS51" s="252">
        <f t="shared" ref="AS51" si="108">AS52+AS56</f>
        <v>0</v>
      </c>
    </row>
    <row r="52" spans="2:47" ht="12" customHeight="1" x14ac:dyDescent="0.2">
      <c r="B52" s="141" t="s">
        <v>103</v>
      </c>
      <c r="C52" s="142" t="s">
        <v>104</v>
      </c>
      <c r="D52" s="143"/>
      <c r="E52" s="143"/>
      <c r="F52" s="144"/>
      <c r="G52" s="145"/>
      <c r="I52" s="195">
        <f>SUM(I53:I55)</f>
        <v>93907564.799999982</v>
      </c>
      <c r="J52" s="195">
        <f>SUM(J53:J55)</f>
        <v>866096.27999999991</v>
      </c>
      <c r="K52" s="253">
        <f t="shared" ref="K52:AH52" si="109">SUM(K53:K55)</f>
        <v>0</v>
      </c>
      <c r="L52" s="253">
        <f t="shared" si="109"/>
        <v>0</v>
      </c>
      <c r="M52" s="253">
        <f t="shared" si="109"/>
        <v>0</v>
      </c>
      <c r="N52" s="253">
        <f t="shared" si="109"/>
        <v>0</v>
      </c>
      <c r="O52" s="253">
        <f t="shared" si="109"/>
        <v>0</v>
      </c>
      <c r="P52" s="253">
        <f t="shared" si="109"/>
        <v>0</v>
      </c>
      <c r="Q52" s="253">
        <f t="shared" si="109"/>
        <v>48</v>
      </c>
      <c r="R52" s="253">
        <f t="shared" si="109"/>
        <v>0</v>
      </c>
      <c r="S52" s="253">
        <f t="shared" si="109"/>
        <v>102</v>
      </c>
      <c r="T52" s="253">
        <f t="shared" ref="T52" si="110">SUM(T53:T55)</f>
        <v>150</v>
      </c>
      <c r="U52" s="253">
        <f t="shared" si="109"/>
        <v>0</v>
      </c>
      <c r="V52" s="253">
        <f t="shared" si="109"/>
        <v>0</v>
      </c>
      <c r="W52" s="253">
        <f t="shared" si="109"/>
        <v>0</v>
      </c>
      <c r="X52" s="253">
        <f t="shared" si="109"/>
        <v>0</v>
      </c>
      <c r="Y52" s="253">
        <f t="shared" ref="Y52" si="111">SUM(Y53:Y55)</f>
        <v>0</v>
      </c>
      <c r="Z52" s="253">
        <f t="shared" si="109"/>
        <v>0</v>
      </c>
      <c r="AA52" s="253">
        <f t="shared" si="109"/>
        <v>0</v>
      </c>
      <c r="AB52" s="253">
        <f t="shared" si="109"/>
        <v>0</v>
      </c>
      <c r="AC52" s="253">
        <f t="shared" si="109"/>
        <v>0</v>
      </c>
      <c r="AD52" s="253">
        <f t="shared" ref="AD52" si="112">SUM(AD53:AD55)</f>
        <v>0</v>
      </c>
      <c r="AE52" s="253">
        <f t="shared" si="109"/>
        <v>0</v>
      </c>
      <c r="AF52" s="253">
        <f t="shared" si="109"/>
        <v>0</v>
      </c>
      <c r="AG52" s="253">
        <f t="shared" si="109"/>
        <v>0</v>
      </c>
      <c r="AH52" s="253">
        <f t="shared" si="109"/>
        <v>0</v>
      </c>
      <c r="AI52" s="253">
        <f t="shared" ref="AI52:AM52" si="113">SUM(AI53:AI55)</f>
        <v>0</v>
      </c>
      <c r="AJ52" s="253">
        <f t="shared" si="113"/>
        <v>0</v>
      </c>
      <c r="AK52" s="253">
        <f t="shared" si="113"/>
        <v>0</v>
      </c>
      <c r="AL52" s="253">
        <f t="shared" si="113"/>
        <v>0</v>
      </c>
      <c r="AM52" s="253">
        <f t="shared" si="113"/>
        <v>0</v>
      </c>
      <c r="AN52" s="253">
        <f t="shared" ref="AN52:AR52" si="114">SUM(AN53:AN55)</f>
        <v>0</v>
      </c>
      <c r="AO52" s="253">
        <f t="shared" si="114"/>
        <v>0</v>
      </c>
      <c r="AP52" s="253">
        <f t="shared" si="114"/>
        <v>0</v>
      </c>
      <c r="AQ52" s="253">
        <f t="shared" si="114"/>
        <v>0</v>
      </c>
      <c r="AR52" s="253">
        <f t="shared" si="114"/>
        <v>0</v>
      </c>
      <c r="AS52" s="253">
        <f t="shared" ref="AS52" si="115">SUM(AS53:AS55)</f>
        <v>0</v>
      </c>
    </row>
    <row r="53" spans="2:47" ht="12" customHeight="1" x14ac:dyDescent="0.2">
      <c r="B53" s="117" t="s">
        <v>105</v>
      </c>
      <c r="C53" s="118" t="s">
        <v>106</v>
      </c>
      <c r="D53">
        <v>136</v>
      </c>
      <c r="E53" s="119" t="s">
        <v>107</v>
      </c>
      <c r="F53" s="130"/>
      <c r="G53" s="129"/>
      <c r="I53" s="135">
        <f t="shared" ref="I53:I55" si="116">(O53+T53+Y53+AD53+AI53+AN53)*J53</f>
        <v>91167061.439999983</v>
      </c>
      <c r="J53" s="187">
        <f>563316*1.19</f>
        <v>670346.03999999992</v>
      </c>
      <c r="K53" s="254"/>
      <c r="L53" s="254"/>
      <c r="M53" s="254"/>
      <c r="N53" s="254"/>
      <c r="O53" s="254">
        <f t="shared" ref="O53:O55" si="117">SUM(K53:N53)</f>
        <v>0</v>
      </c>
      <c r="P53" s="254"/>
      <c r="Q53" s="254">
        <v>43</v>
      </c>
      <c r="R53" s="254"/>
      <c r="S53" s="254">
        <v>93</v>
      </c>
      <c r="T53" s="254">
        <f t="shared" ref="T53:T55" si="118">SUM(P53:S53)</f>
        <v>136</v>
      </c>
      <c r="U53" s="254"/>
      <c r="V53" s="254"/>
      <c r="W53" s="254"/>
      <c r="X53" s="254"/>
      <c r="Y53" s="254">
        <f t="shared" ref="Y53:Y55" si="119">SUM(U53:X53)</f>
        <v>0</v>
      </c>
      <c r="Z53" s="254"/>
      <c r="AA53" s="254"/>
      <c r="AB53" s="254"/>
      <c r="AC53" s="254"/>
      <c r="AD53" s="254">
        <f t="shared" ref="AD53:AD55" si="120">SUM(Z53:AC53)</f>
        <v>0</v>
      </c>
      <c r="AE53" s="254"/>
      <c r="AF53" s="254"/>
      <c r="AG53" s="254"/>
      <c r="AH53" s="254"/>
      <c r="AI53" s="254">
        <f t="shared" ref="AI53:AI55" si="121">SUM(AE53:AH53)</f>
        <v>0</v>
      </c>
      <c r="AJ53" s="254"/>
      <c r="AK53" s="254"/>
      <c r="AL53" s="254"/>
      <c r="AM53" s="254"/>
      <c r="AN53" s="254">
        <f t="shared" ref="AN53:AN55" si="122">SUM(AJ53:AM53)</f>
        <v>0</v>
      </c>
      <c r="AO53" s="254"/>
      <c r="AP53" s="254"/>
      <c r="AQ53" s="254"/>
      <c r="AR53" s="254"/>
      <c r="AS53" s="254">
        <f t="shared" ref="AS53:AS55" si="123">SUM(AO53:AR53)</f>
        <v>0</v>
      </c>
    </row>
    <row r="54" spans="2:47" ht="12" customHeight="1" x14ac:dyDescent="0.2">
      <c r="B54" s="117" t="s">
        <v>108</v>
      </c>
      <c r="C54" s="118" t="s">
        <v>109</v>
      </c>
      <c r="E54" s="119"/>
      <c r="F54" s="130"/>
      <c r="G54" s="129"/>
      <c r="I54" s="135">
        <f t="shared" si="116"/>
        <v>0</v>
      </c>
      <c r="J54" s="187"/>
      <c r="K54" s="254"/>
      <c r="L54" s="254"/>
      <c r="M54" s="254"/>
      <c r="N54" s="254"/>
      <c r="O54" s="254">
        <f t="shared" si="117"/>
        <v>0</v>
      </c>
      <c r="P54" s="254"/>
      <c r="Q54" s="254"/>
      <c r="R54" s="254"/>
      <c r="S54" s="254"/>
      <c r="T54" s="254">
        <f t="shared" si="118"/>
        <v>0</v>
      </c>
      <c r="U54" s="254"/>
      <c r="V54" s="254"/>
      <c r="W54" s="254"/>
      <c r="X54" s="254"/>
      <c r="Y54" s="254">
        <f t="shared" si="119"/>
        <v>0</v>
      </c>
      <c r="Z54" s="254"/>
      <c r="AA54" s="254"/>
      <c r="AB54" s="254"/>
      <c r="AC54" s="254"/>
      <c r="AD54" s="254">
        <f t="shared" si="120"/>
        <v>0</v>
      </c>
      <c r="AE54" s="254"/>
      <c r="AF54" s="254"/>
      <c r="AG54" s="254"/>
      <c r="AH54" s="254"/>
      <c r="AI54" s="254">
        <f t="shared" si="121"/>
        <v>0</v>
      </c>
      <c r="AJ54" s="254"/>
      <c r="AK54" s="254"/>
      <c r="AL54" s="254"/>
      <c r="AM54" s="254"/>
      <c r="AN54" s="254">
        <f t="shared" si="122"/>
        <v>0</v>
      </c>
      <c r="AO54" s="254"/>
      <c r="AP54" s="254"/>
      <c r="AQ54" s="254"/>
      <c r="AR54" s="254"/>
      <c r="AS54" s="254">
        <f t="shared" si="123"/>
        <v>0</v>
      </c>
    </row>
    <row r="55" spans="2:47" ht="12" customHeight="1" x14ac:dyDescent="0.2">
      <c r="B55" s="117" t="s">
        <v>110</v>
      </c>
      <c r="C55" s="118" t="s">
        <v>111</v>
      </c>
      <c r="D55">
        <v>13</v>
      </c>
      <c r="E55" s="119" t="s">
        <v>107</v>
      </c>
      <c r="F55" s="130"/>
      <c r="G55" s="129"/>
      <c r="I55" s="135">
        <f t="shared" si="116"/>
        <v>2740503.36</v>
      </c>
      <c r="J55" s="187">
        <f>164496*1.19</f>
        <v>195750.24</v>
      </c>
      <c r="K55" s="254"/>
      <c r="L55" s="254"/>
      <c r="M55" s="254"/>
      <c r="N55" s="254"/>
      <c r="O55" s="254">
        <f t="shared" si="117"/>
        <v>0</v>
      </c>
      <c r="P55" s="254"/>
      <c r="Q55" s="254">
        <v>5</v>
      </c>
      <c r="R55" s="254"/>
      <c r="S55" s="254">
        <v>9</v>
      </c>
      <c r="T55" s="254">
        <f t="shared" si="118"/>
        <v>14</v>
      </c>
      <c r="U55" s="254"/>
      <c r="V55" s="254"/>
      <c r="W55" s="254"/>
      <c r="X55" s="254"/>
      <c r="Y55" s="254">
        <f t="shared" si="119"/>
        <v>0</v>
      </c>
      <c r="Z55" s="254"/>
      <c r="AA55" s="254"/>
      <c r="AB55" s="254"/>
      <c r="AC55" s="254"/>
      <c r="AD55" s="254">
        <f t="shared" si="120"/>
        <v>0</v>
      </c>
      <c r="AE55" s="254"/>
      <c r="AF55" s="254"/>
      <c r="AG55" s="254"/>
      <c r="AH55" s="254"/>
      <c r="AI55" s="254">
        <f t="shared" si="121"/>
        <v>0</v>
      </c>
      <c r="AJ55" s="254"/>
      <c r="AK55" s="254"/>
      <c r="AL55" s="254"/>
      <c r="AM55" s="254"/>
      <c r="AN55" s="254">
        <f t="shared" si="122"/>
        <v>0</v>
      </c>
      <c r="AO55" s="254"/>
      <c r="AP55" s="254"/>
      <c r="AQ55" s="254"/>
      <c r="AR55" s="254"/>
      <c r="AS55" s="254">
        <f t="shared" si="123"/>
        <v>0</v>
      </c>
    </row>
    <row r="56" spans="2:47" ht="12" customHeight="1" x14ac:dyDescent="0.2">
      <c r="B56" s="141" t="s">
        <v>112</v>
      </c>
      <c r="C56" s="142" t="s">
        <v>113</v>
      </c>
      <c r="E56" s="143"/>
      <c r="F56" s="144"/>
      <c r="G56" s="145"/>
      <c r="I56" s="195">
        <f>SUM(I57:I59)</f>
        <v>149536870.84</v>
      </c>
      <c r="J56" s="195">
        <f>SUM(J57:J59)</f>
        <v>1179647</v>
      </c>
      <c r="K56" s="253">
        <f t="shared" ref="K56:AH56" si="124">SUM(K57:K59)</f>
        <v>0</v>
      </c>
      <c r="L56" s="253">
        <f t="shared" si="124"/>
        <v>0</v>
      </c>
      <c r="M56" s="253">
        <f t="shared" si="124"/>
        <v>0</v>
      </c>
      <c r="N56" s="253">
        <f t="shared" si="124"/>
        <v>0</v>
      </c>
      <c r="O56" s="253">
        <f t="shared" si="124"/>
        <v>0</v>
      </c>
      <c r="P56" s="253">
        <f t="shared" si="124"/>
        <v>0</v>
      </c>
      <c r="Q56" s="253">
        <f t="shared" si="124"/>
        <v>0</v>
      </c>
      <c r="R56" s="253">
        <f t="shared" si="124"/>
        <v>0</v>
      </c>
      <c r="S56" s="253">
        <f t="shared" si="124"/>
        <v>0</v>
      </c>
      <c r="T56" s="253">
        <f t="shared" ref="T56" si="125">SUM(T57:T59)</f>
        <v>0</v>
      </c>
      <c r="U56" s="253">
        <f t="shared" si="124"/>
        <v>0</v>
      </c>
      <c r="V56" s="253">
        <f t="shared" si="124"/>
        <v>0</v>
      </c>
      <c r="W56" s="253">
        <f t="shared" si="124"/>
        <v>0</v>
      </c>
      <c r="X56" s="253">
        <f t="shared" si="124"/>
        <v>0</v>
      </c>
      <c r="Y56" s="253">
        <f t="shared" si="124"/>
        <v>0</v>
      </c>
      <c r="Z56" s="253">
        <f t="shared" si="124"/>
        <v>0</v>
      </c>
      <c r="AA56" s="253">
        <f t="shared" si="124"/>
        <v>164</v>
      </c>
      <c r="AB56" s="253">
        <f t="shared" si="124"/>
        <v>0</v>
      </c>
      <c r="AC56" s="253">
        <f t="shared" si="124"/>
        <v>0</v>
      </c>
      <c r="AD56" s="253">
        <f t="shared" ref="AD56" si="126">SUM(AD57:AD59)</f>
        <v>164</v>
      </c>
      <c r="AE56" s="253">
        <f t="shared" si="124"/>
        <v>0</v>
      </c>
      <c r="AF56" s="253">
        <f t="shared" si="124"/>
        <v>0</v>
      </c>
      <c r="AG56" s="253">
        <f t="shared" si="124"/>
        <v>0</v>
      </c>
      <c r="AH56" s="253">
        <f t="shared" si="124"/>
        <v>0</v>
      </c>
      <c r="AI56" s="253">
        <f t="shared" ref="AI56:AM56" si="127">SUM(AI57:AI59)</f>
        <v>0</v>
      </c>
      <c r="AJ56" s="253">
        <f t="shared" si="127"/>
        <v>0</v>
      </c>
      <c r="AK56" s="253">
        <f t="shared" si="127"/>
        <v>0</v>
      </c>
      <c r="AL56" s="253">
        <f t="shared" si="127"/>
        <v>0</v>
      </c>
      <c r="AM56" s="253">
        <f t="shared" si="127"/>
        <v>0</v>
      </c>
      <c r="AN56" s="253">
        <f t="shared" ref="AN56:AR56" si="128">SUM(AN57:AN59)</f>
        <v>0</v>
      </c>
      <c r="AO56" s="253">
        <f t="shared" si="128"/>
        <v>0</v>
      </c>
      <c r="AP56" s="253">
        <f t="shared" si="128"/>
        <v>0</v>
      </c>
      <c r="AQ56" s="253">
        <f t="shared" si="128"/>
        <v>0</v>
      </c>
      <c r="AR56" s="253">
        <f t="shared" si="128"/>
        <v>0</v>
      </c>
      <c r="AS56" s="253">
        <f t="shared" ref="AS56" si="129">SUM(AS57:AS59)</f>
        <v>0</v>
      </c>
    </row>
    <row r="57" spans="2:47" ht="12" customHeight="1" x14ac:dyDescent="0.2">
      <c r="B57" s="117" t="s">
        <v>114</v>
      </c>
      <c r="C57" s="118" t="s">
        <v>115</v>
      </c>
      <c r="D57">
        <v>149</v>
      </c>
      <c r="E57" s="119" t="s">
        <v>107</v>
      </c>
      <c r="F57" s="130"/>
      <c r="G57" s="129"/>
      <c r="I57" s="135">
        <f t="shared" ref="I57:I59" si="130">(O57+T57+Y57+AD57+AI57+AN57)*J57</f>
        <v>146600617.24000001</v>
      </c>
      <c r="J57" s="187">
        <f>826804*1.19</f>
        <v>983896.76</v>
      </c>
      <c r="K57" s="254"/>
      <c r="L57" s="254"/>
      <c r="M57" s="254"/>
      <c r="N57" s="254"/>
      <c r="O57" s="254">
        <f t="shared" ref="O57:O59" si="131">SUM(K57:N57)</f>
        <v>0</v>
      </c>
      <c r="P57" s="254"/>
      <c r="Q57" s="254"/>
      <c r="R57" s="254"/>
      <c r="S57" s="254"/>
      <c r="T57" s="254">
        <f t="shared" ref="T57:T59" si="132">SUM(P57:S57)</f>
        <v>0</v>
      </c>
      <c r="U57" s="254"/>
      <c r="V57" s="254"/>
      <c r="W57" s="254"/>
      <c r="X57" s="254"/>
      <c r="Y57" s="254">
        <f t="shared" ref="Y57:Y59" si="133">SUM(U57:X57)</f>
        <v>0</v>
      </c>
      <c r="Z57" s="254"/>
      <c r="AA57" s="254">
        <v>149</v>
      </c>
      <c r="AB57" s="254"/>
      <c r="AC57" s="254"/>
      <c r="AD57" s="254">
        <f t="shared" ref="AD57:AD59" si="134">SUM(Z57:AC57)</f>
        <v>149</v>
      </c>
      <c r="AE57" s="254"/>
      <c r="AF57" s="254"/>
      <c r="AG57" s="254"/>
      <c r="AH57" s="254"/>
      <c r="AI57" s="254">
        <f t="shared" ref="AI57:AI59" si="135">SUM(AE57:AH57)</f>
        <v>0</v>
      </c>
      <c r="AJ57" s="254"/>
      <c r="AK57" s="254"/>
      <c r="AL57" s="254"/>
      <c r="AM57" s="254"/>
      <c r="AN57" s="254">
        <f t="shared" ref="AN57:AN59" si="136">SUM(AJ57:AM57)</f>
        <v>0</v>
      </c>
      <c r="AO57" s="254"/>
      <c r="AP57" s="254"/>
      <c r="AQ57" s="254"/>
      <c r="AR57" s="254"/>
      <c r="AS57" s="254">
        <f t="shared" ref="AS57:AS59" si="137">SUM(AO57:AR57)</f>
        <v>0</v>
      </c>
    </row>
    <row r="58" spans="2:47" ht="12" customHeight="1" x14ac:dyDescent="0.2">
      <c r="B58" s="117" t="s">
        <v>116</v>
      </c>
      <c r="C58" s="118" t="s">
        <v>117</v>
      </c>
      <c r="E58" s="119"/>
      <c r="F58" s="130"/>
      <c r="G58" s="129"/>
      <c r="I58" s="135">
        <f t="shared" si="130"/>
        <v>0</v>
      </c>
      <c r="J58" s="187"/>
      <c r="K58" s="254"/>
      <c r="L58" s="254"/>
      <c r="M58" s="254"/>
      <c r="N58" s="254"/>
      <c r="O58" s="254">
        <f t="shared" si="131"/>
        <v>0</v>
      </c>
      <c r="P58" s="254"/>
      <c r="Q58" s="254"/>
      <c r="R58" s="254"/>
      <c r="S58" s="254"/>
      <c r="T58" s="254">
        <f t="shared" si="132"/>
        <v>0</v>
      </c>
      <c r="U58" s="254"/>
      <c r="V58" s="254"/>
      <c r="W58" s="254"/>
      <c r="X58" s="254"/>
      <c r="Y58" s="254">
        <f t="shared" si="133"/>
        <v>0</v>
      </c>
      <c r="Z58" s="254"/>
      <c r="AA58" s="254"/>
      <c r="AB58" s="254"/>
      <c r="AC58" s="254"/>
      <c r="AD58" s="254">
        <f t="shared" si="134"/>
        <v>0</v>
      </c>
      <c r="AE58" s="254"/>
      <c r="AF58" s="254"/>
      <c r="AG58" s="254"/>
      <c r="AH58" s="254"/>
      <c r="AI58" s="254">
        <f t="shared" si="135"/>
        <v>0</v>
      </c>
      <c r="AJ58" s="254"/>
      <c r="AK58" s="254"/>
      <c r="AL58" s="254"/>
      <c r="AM58" s="254"/>
      <c r="AN58" s="254">
        <f t="shared" si="136"/>
        <v>0</v>
      </c>
      <c r="AO58" s="254"/>
      <c r="AP58" s="254"/>
      <c r="AQ58" s="254"/>
      <c r="AR58" s="254"/>
      <c r="AS58" s="254">
        <f t="shared" si="137"/>
        <v>0</v>
      </c>
    </row>
    <row r="59" spans="2:47" ht="12" customHeight="1" x14ac:dyDescent="0.2">
      <c r="B59" s="117" t="s">
        <v>118</v>
      </c>
      <c r="C59" s="118" t="s">
        <v>119</v>
      </c>
      <c r="D59">
        <v>15</v>
      </c>
      <c r="E59" s="119" t="s">
        <v>107</v>
      </c>
      <c r="F59" s="130"/>
      <c r="G59" s="129"/>
      <c r="I59" s="135">
        <f t="shared" si="130"/>
        <v>2936253.5999999996</v>
      </c>
      <c r="J59" s="187">
        <f>164496*1.19</f>
        <v>195750.24</v>
      </c>
      <c r="K59" s="254"/>
      <c r="L59" s="254"/>
      <c r="M59" s="254"/>
      <c r="N59" s="254"/>
      <c r="O59" s="254">
        <f t="shared" si="131"/>
        <v>0</v>
      </c>
      <c r="P59" s="254"/>
      <c r="Q59" s="254"/>
      <c r="R59" s="254"/>
      <c r="S59" s="254"/>
      <c r="T59" s="254">
        <f t="shared" si="132"/>
        <v>0</v>
      </c>
      <c r="U59" s="254"/>
      <c r="V59" s="254"/>
      <c r="W59" s="254"/>
      <c r="X59" s="254"/>
      <c r="Y59" s="254">
        <f t="shared" si="133"/>
        <v>0</v>
      </c>
      <c r="Z59" s="254"/>
      <c r="AA59" s="254">
        <v>15</v>
      </c>
      <c r="AB59" s="254"/>
      <c r="AC59" s="254"/>
      <c r="AD59" s="254">
        <f t="shared" si="134"/>
        <v>15</v>
      </c>
      <c r="AE59" s="254"/>
      <c r="AF59" s="254"/>
      <c r="AG59" s="254"/>
      <c r="AH59" s="254"/>
      <c r="AI59" s="254">
        <f t="shared" si="135"/>
        <v>0</v>
      </c>
      <c r="AJ59" s="254"/>
      <c r="AK59" s="254"/>
      <c r="AL59" s="254"/>
      <c r="AM59" s="254"/>
      <c r="AN59" s="254">
        <f t="shared" si="136"/>
        <v>0</v>
      </c>
      <c r="AO59" s="254"/>
      <c r="AP59" s="254"/>
      <c r="AQ59" s="254"/>
      <c r="AR59" s="254"/>
      <c r="AS59" s="254">
        <f t="shared" si="137"/>
        <v>0</v>
      </c>
    </row>
    <row r="60" spans="2:47" ht="12" customHeight="1" x14ac:dyDescent="0.2">
      <c r="B60" s="41">
        <v>6</v>
      </c>
      <c r="C60" s="56" t="s">
        <v>120</v>
      </c>
      <c r="D60" s="57"/>
      <c r="E60" s="57"/>
      <c r="F60" s="122"/>
      <c r="G60" s="122" t="e">
        <f>SUM(G61)</f>
        <v>#REF!</v>
      </c>
      <c r="I60" s="180">
        <f t="shared" ref="I60:AS60" si="138">SUM(I61)</f>
        <v>2419644568.1344504</v>
      </c>
      <c r="J60" s="180">
        <f t="shared" si="138"/>
        <v>9025.4277480000001</v>
      </c>
      <c r="K60" s="251">
        <f t="shared" si="138"/>
        <v>0</v>
      </c>
      <c r="L60" s="251">
        <f t="shared" si="138"/>
        <v>0</v>
      </c>
      <c r="M60" s="251">
        <f t="shared" si="138"/>
        <v>0</v>
      </c>
      <c r="N60" s="251">
        <f t="shared" si="138"/>
        <v>0</v>
      </c>
      <c r="O60" s="251">
        <f t="shared" si="138"/>
        <v>0</v>
      </c>
      <c r="P60" s="251">
        <f t="shared" si="138"/>
        <v>0</v>
      </c>
      <c r="Q60" s="251">
        <f t="shared" si="138"/>
        <v>5072.3999999999996</v>
      </c>
      <c r="R60" s="251">
        <f t="shared" si="138"/>
        <v>9583</v>
      </c>
      <c r="S60" s="251">
        <f t="shared" si="138"/>
        <v>17682.2</v>
      </c>
      <c r="T60" s="251">
        <f t="shared" si="138"/>
        <v>32337.599999999999</v>
      </c>
      <c r="U60" s="251">
        <f t="shared" si="138"/>
        <v>0</v>
      </c>
      <c r="V60" s="251">
        <f t="shared" si="138"/>
        <v>11678</v>
      </c>
      <c r="W60" s="251">
        <f t="shared" si="138"/>
        <v>17785</v>
      </c>
      <c r="X60" s="251">
        <f t="shared" si="138"/>
        <v>6305</v>
      </c>
      <c r="Y60" s="251">
        <f t="shared" si="138"/>
        <v>35768</v>
      </c>
      <c r="Z60" s="251">
        <f t="shared" si="138"/>
        <v>10678</v>
      </c>
      <c r="AA60" s="251">
        <f t="shared" si="138"/>
        <v>5287</v>
      </c>
      <c r="AB60" s="251">
        <f t="shared" si="138"/>
        <v>14738</v>
      </c>
      <c r="AC60" s="251">
        <f t="shared" si="138"/>
        <v>25000</v>
      </c>
      <c r="AD60" s="251">
        <f t="shared" si="138"/>
        <v>55703</v>
      </c>
      <c r="AE60" s="251">
        <f t="shared" si="138"/>
        <v>0</v>
      </c>
      <c r="AF60" s="251">
        <f t="shared" si="138"/>
        <v>30200</v>
      </c>
      <c r="AG60" s="251">
        <f t="shared" si="138"/>
        <v>0</v>
      </c>
      <c r="AH60" s="251">
        <f t="shared" si="138"/>
        <v>31254</v>
      </c>
      <c r="AI60" s="251">
        <f t="shared" si="138"/>
        <v>61454</v>
      </c>
      <c r="AJ60" s="251">
        <f t="shared" si="138"/>
        <v>0</v>
      </c>
      <c r="AK60" s="251">
        <f t="shared" si="138"/>
        <v>85059</v>
      </c>
      <c r="AL60" s="251">
        <f t="shared" si="138"/>
        <v>0</v>
      </c>
      <c r="AM60" s="251">
        <f t="shared" si="138"/>
        <v>80000</v>
      </c>
      <c r="AN60" s="251">
        <f t="shared" si="138"/>
        <v>165059</v>
      </c>
      <c r="AO60" s="251">
        <f t="shared" si="138"/>
        <v>90000</v>
      </c>
      <c r="AP60" s="251">
        <f t="shared" si="138"/>
        <v>89678</v>
      </c>
      <c r="AQ60" s="251">
        <f t="shared" si="138"/>
        <v>0</v>
      </c>
      <c r="AR60" s="251">
        <f t="shared" si="138"/>
        <v>0</v>
      </c>
      <c r="AS60" s="251">
        <f t="shared" si="138"/>
        <v>179678</v>
      </c>
      <c r="AU60" s="34">
        <f>AS60+AN60+AI60+AD60+Y60+T60</f>
        <v>529999.6</v>
      </c>
    </row>
    <row r="61" spans="2:47" ht="12" customHeight="1" x14ac:dyDescent="0.2">
      <c r="B61" s="58" t="s">
        <v>121</v>
      </c>
      <c r="C61" s="45" t="s">
        <v>122</v>
      </c>
      <c r="D61" s="46"/>
      <c r="E61" s="46"/>
      <c r="F61" s="123"/>
      <c r="G61" s="123" t="e">
        <f>#REF!</f>
        <v>#REF!</v>
      </c>
      <c r="I61" s="189">
        <f>SUM(I62:I63)</f>
        <v>2419644568.1344504</v>
      </c>
      <c r="J61" s="189">
        <f t="shared" ref="J61:AN61" si="139">SUM(J62:J63)</f>
        <v>9025.4277480000001</v>
      </c>
      <c r="K61" s="323">
        <f t="shared" si="139"/>
        <v>0</v>
      </c>
      <c r="L61" s="323">
        <f t="shared" si="139"/>
        <v>0</v>
      </c>
      <c r="M61" s="323">
        <f t="shared" si="139"/>
        <v>0</v>
      </c>
      <c r="N61" s="323">
        <f t="shared" si="139"/>
        <v>0</v>
      </c>
      <c r="O61" s="323">
        <f t="shared" si="139"/>
        <v>0</v>
      </c>
      <c r="P61" s="323">
        <f t="shared" si="139"/>
        <v>0</v>
      </c>
      <c r="Q61" s="323">
        <f t="shared" si="139"/>
        <v>5072.3999999999996</v>
      </c>
      <c r="R61" s="323">
        <f t="shared" si="139"/>
        <v>9583</v>
      </c>
      <c r="S61" s="323">
        <f t="shared" si="139"/>
        <v>17682.2</v>
      </c>
      <c r="T61" s="323">
        <f t="shared" si="139"/>
        <v>32337.599999999999</v>
      </c>
      <c r="U61" s="323">
        <f t="shared" si="139"/>
        <v>0</v>
      </c>
      <c r="V61" s="323">
        <f t="shared" si="139"/>
        <v>11678</v>
      </c>
      <c r="W61" s="323">
        <f t="shared" si="139"/>
        <v>17785</v>
      </c>
      <c r="X61" s="323">
        <f t="shared" si="139"/>
        <v>6305</v>
      </c>
      <c r="Y61" s="323">
        <f t="shared" si="139"/>
        <v>35768</v>
      </c>
      <c r="Z61" s="323">
        <f t="shared" si="139"/>
        <v>10678</v>
      </c>
      <c r="AA61" s="323">
        <f t="shared" si="139"/>
        <v>5287</v>
      </c>
      <c r="AB61" s="323">
        <f t="shared" si="139"/>
        <v>14738</v>
      </c>
      <c r="AC61" s="323">
        <f t="shared" si="139"/>
        <v>25000</v>
      </c>
      <c r="AD61" s="323">
        <f t="shared" si="139"/>
        <v>55703</v>
      </c>
      <c r="AE61" s="323">
        <f t="shared" si="139"/>
        <v>0</v>
      </c>
      <c r="AF61" s="323">
        <f t="shared" si="139"/>
        <v>30200</v>
      </c>
      <c r="AG61" s="323">
        <f t="shared" si="139"/>
        <v>0</v>
      </c>
      <c r="AH61" s="323">
        <f t="shared" si="139"/>
        <v>31254</v>
      </c>
      <c r="AI61" s="323">
        <f t="shared" si="139"/>
        <v>61454</v>
      </c>
      <c r="AJ61" s="323">
        <f t="shared" si="139"/>
        <v>0</v>
      </c>
      <c r="AK61" s="323">
        <f t="shared" si="139"/>
        <v>85059</v>
      </c>
      <c r="AL61" s="323">
        <f t="shared" si="139"/>
        <v>0</v>
      </c>
      <c r="AM61" s="323">
        <f t="shared" si="139"/>
        <v>80000</v>
      </c>
      <c r="AN61" s="323">
        <f t="shared" si="139"/>
        <v>165059</v>
      </c>
      <c r="AO61" s="323">
        <f t="shared" ref="AO61:AS61" si="140">SUM(AO62:AO63)</f>
        <v>90000</v>
      </c>
      <c r="AP61" s="323">
        <f t="shared" si="140"/>
        <v>89678</v>
      </c>
      <c r="AQ61" s="323">
        <f t="shared" si="140"/>
        <v>0</v>
      </c>
      <c r="AR61" s="323">
        <f t="shared" si="140"/>
        <v>0</v>
      </c>
      <c r="AS61" s="323">
        <f t="shared" si="140"/>
        <v>179678</v>
      </c>
    </row>
    <row r="62" spans="2:47" ht="12" customHeight="1" x14ac:dyDescent="0.2">
      <c r="B62" s="59" t="s">
        <v>187</v>
      </c>
      <c r="C62" s="283" t="s">
        <v>188</v>
      </c>
      <c r="D62" s="322">
        <f>O62+T62+Y62+AD62+AI62+AN62</f>
        <v>185262.6</v>
      </c>
      <c r="E62" s="154"/>
      <c r="F62" s="280"/>
      <c r="G62" s="280"/>
      <c r="I62" s="135">
        <f>(O62+T62+Y62+AD62+AI62+AN62+AS62)*J62</f>
        <v>803616150.35331237</v>
      </c>
      <c r="J62" s="326">
        <v>4337.713874</v>
      </c>
      <c r="K62" s="324"/>
      <c r="L62" s="324"/>
      <c r="M62" s="324"/>
      <c r="N62" s="324"/>
      <c r="O62" s="325">
        <f t="shared" ref="O62" si="141">SUM(K62:N62)</f>
        <v>0</v>
      </c>
      <c r="P62" s="324">
        <v>0</v>
      </c>
      <c r="Q62" s="324">
        <v>5072.3999999999996</v>
      </c>
      <c r="R62" s="324">
        <v>9583</v>
      </c>
      <c r="S62" s="324">
        <v>17682.2</v>
      </c>
      <c r="T62" s="325">
        <f t="shared" ref="T62:T63" si="142">SUM(P62:S62)</f>
        <v>32337.599999999999</v>
      </c>
      <c r="U62" s="324"/>
      <c r="V62" s="324">
        <v>11678</v>
      </c>
      <c r="W62" s="324">
        <v>17785</v>
      </c>
      <c r="X62" s="324">
        <v>6305</v>
      </c>
      <c r="Y62" s="325">
        <f t="shared" ref="Y62:Y63" si="143">SUM(U62:X62)</f>
        <v>35768</v>
      </c>
      <c r="Z62" s="324">
        <v>10678</v>
      </c>
      <c r="AA62" s="324">
        <v>5287</v>
      </c>
      <c r="AB62" s="324">
        <v>14738</v>
      </c>
      <c r="AC62" s="324">
        <v>25000</v>
      </c>
      <c r="AD62" s="325">
        <f t="shared" ref="AD62:AD63" si="144">SUM(Z62:AC62)</f>
        <v>55703</v>
      </c>
      <c r="AE62" s="324"/>
      <c r="AF62" s="324">
        <v>30200</v>
      </c>
      <c r="AG62" s="324"/>
      <c r="AH62" s="324">
        <v>31254</v>
      </c>
      <c r="AI62" s="325">
        <f t="shared" ref="AI62" si="145">SUM(AE62:AH62)</f>
        <v>61454</v>
      </c>
      <c r="AJ62" s="324"/>
      <c r="AK62" s="324"/>
      <c r="AL62" s="324"/>
      <c r="AM62" s="324"/>
      <c r="AN62" s="325">
        <f t="shared" ref="AN62:AN63" si="146">SUM(AJ62:AM62)</f>
        <v>0</v>
      </c>
      <c r="AO62" s="324"/>
      <c r="AP62" s="324"/>
      <c r="AQ62" s="324"/>
      <c r="AR62" s="324"/>
      <c r="AS62" s="325">
        <f t="shared" ref="AS62:AS63" si="147">SUM(AO62:AR62)</f>
        <v>0</v>
      </c>
    </row>
    <row r="63" spans="2:47" ht="12" customHeight="1" x14ac:dyDescent="0.2">
      <c r="B63" s="59" t="s">
        <v>189</v>
      </c>
      <c r="C63" s="283" t="s">
        <v>190</v>
      </c>
      <c r="D63" s="154"/>
      <c r="E63" s="154"/>
      <c r="F63" s="280"/>
      <c r="G63" s="280"/>
      <c r="I63" s="135">
        <f>(O63+T63+Y63+AD63+AI63+AN63+AS63)*J63</f>
        <v>1616028417.7811379</v>
      </c>
      <c r="J63" s="326">
        <f>J62+350</f>
        <v>4687.713874</v>
      </c>
      <c r="K63" s="324"/>
      <c r="L63" s="324"/>
      <c r="M63" s="324"/>
      <c r="N63" s="324"/>
      <c r="O63" s="325"/>
      <c r="P63" s="324"/>
      <c r="Q63" s="324"/>
      <c r="R63" s="324"/>
      <c r="S63" s="324"/>
      <c r="T63" s="325">
        <f t="shared" si="142"/>
        <v>0</v>
      </c>
      <c r="U63" s="324"/>
      <c r="V63" s="324"/>
      <c r="W63" s="324"/>
      <c r="X63" s="324"/>
      <c r="Y63" s="325">
        <f t="shared" si="143"/>
        <v>0</v>
      </c>
      <c r="Z63" s="324"/>
      <c r="AA63" s="324"/>
      <c r="AB63" s="324"/>
      <c r="AC63" s="324"/>
      <c r="AD63" s="325">
        <f t="shared" si="144"/>
        <v>0</v>
      </c>
      <c r="AE63" s="324"/>
      <c r="AF63" s="324"/>
      <c r="AG63" s="324"/>
      <c r="AH63" s="324"/>
      <c r="AI63" s="325">
        <f>SUM(AE63:AH63)</f>
        <v>0</v>
      </c>
      <c r="AJ63" s="324"/>
      <c r="AK63" s="324">
        <v>85059</v>
      </c>
      <c r="AL63" s="324"/>
      <c r="AM63" s="324">
        <v>80000</v>
      </c>
      <c r="AN63" s="325">
        <f t="shared" si="146"/>
        <v>165059</v>
      </c>
      <c r="AO63" s="324">
        <v>90000</v>
      </c>
      <c r="AP63" s="324">
        <v>89678</v>
      </c>
      <c r="AQ63" s="324"/>
      <c r="AR63" s="324"/>
      <c r="AS63" s="325">
        <f t="shared" si="147"/>
        <v>179678</v>
      </c>
    </row>
    <row r="64" spans="2:47" ht="12" customHeight="1" x14ac:dyDescent="0.2">
      <c r="B64" s="153"/>
      <c r="C64" s="279"/>
      <c r="D64" s="154"/>
      <c r="E64" s="154"/>
      <c r="F64" s="280"/>
      <c r="G64" s="280"/>
      <c r="I64" s="281"/>
      <c r="J64" s="281"/>
      <c r="K64" s="282"/>
      <c r="L64" s="282"/>
      <c r="M64" s="282"/>
      <c r="N64" s="282"/>
      <c r="O64" s="282"/>
      <c r="P64" s="282"/>
      <c r="Q64" s="282"/>
      <c r="R64" s="282"/>
      <c r="S64" s="282"/>
      <c r="T64" s="282"/>
      <c r="U64" s="282"/>
      <c r="V64" s="282"/>
      <c r="W64" s="282"/>
      <c r="X64" s="282"/>
      <c r="Y64" s="282"/>
      <c r="Z64" s="282"/>
      <c r="AA64" s="282"/>
      <c r="AB64" s="282"/>
      <c r="AC64" s="282"/>
      <c r="AD64" s="282"/>
      <c r="AF64" s="282"/>
      <c r="AG64" s="282"/>
      <c r="AH64" s="282"/>
      <c r="AI64" s="282"/>
    </row>
    <row r="66" spans="2:35" ht="12" customHeight="1" x14ac:dyDescent="0.2">
      <c r="C66" s="56" t="s">
        <v>128</v>
      </c>
      <c r="D66" s="56"/>
      <c r="E66" s="56"/>
      <c r="F66" s="56">
        <f>F53*D53</f>
        <v>0</v>
      </c>
      <c r="G66" s="56" t="e">
        <f>G60+G50+G47+G41+G14</f>
        <v>#REF!</v>
      </c>
      <c r="I66" s="137">
        <f>I60+I50+I47+I41+I14</f>
        <v>2791884020.2744503</v>
      </c>
      <c r="J66" s="33"/>
      <c r="K66" s="137" t="e">
        <f>(K60*#REF!)+(K53*$J$53)+(K54*$J$54)+(K55*$J$55)+(K57*$J$57)+(K58*$J$58)+(K59*$J$59)+K47+K41+K14</f>
        <v>#REF!</v>
      </c>
      <c r="L66" s="137" t="e">
        <f>(L60*#REF!)+(L53*$J$53)+(L54*$J$54)+(L55*$J$55)+(L57*$J$57)+(L58*$J$58)+(L59*$J$59)+L47+L41+L14</f>
        <v>#REF!</v>
      </c>
      <c r="M66" s="137" t="e">
        <f>(M60*#REF!)+(M53*$J$53)+(M54*$J$54)+(M55*$J$55)+(M57*$J$57)+(M58*$J$58)+(M59*$J$59)+M47+M41+M14</f>
        <v>#REF!</v>
      </c>
      <c r="N66" s="137" t="e">
        <f>(N60*#REF!)+(N53*$J$53)+(N54*$J$54)+(N55*$J$55)+(N57*$J$57)+(N58*$J$58)+(N59*$J$59)+N47+N41+N14</f>
        <v>#REF!</v>
      </c>
      <c r="O66" s="137" t="e">
        <f>(O60*#REF!)+(O53*$J$53)+(O54*$J$54)+(O55*$J$55)+(O57*$J$57)+(O58*$J$58)+(O59*$J$59)+O47+O41+O14</f>
        <v>#REF!</v>
      </c>
      <c r="P66" s="137" t="e">
        <f>(P60*#REF!)+(P53*$J$53)+(P54*$J$54)+(P55*$J$55)+(P57*$J$57)+(P58*$J$58)+(P59*$J$59)+P47+P41+P14</f>
        <v>#REF!</v>
      </c>
      <c r="Q66" s="137" t="e">
        <f>(Q60*#REF!)+(Q53*$J$53)+(Q54*$J$54)+(Q55*$J$55)+(Q57*$J$57)+(Q58*$J$58)+(Q59*$J$59)+Q47+Q41+Q14</f>
        <v>#REF!</v>
      </c>
      <c r="R66" s="137" t="e">
        <f>(R60*#REF!)+(R53*$J$53)+(R54*$J$54)+(R55*$J$55)+(R57*$J$57)+(R58*$J$58)+(R59*$J$59)+R47+R41+R14</f>
        <v>#REF!</v>
      </c>
      <c r="S66" s="137" t="e">
        <f>(S60*#REF!)+(S53*$J$53)+(S54*$J$54)+(S55*$J$55)+(S57*$J$57)+(S58*$J$58)+(S59*$J$59)+S47+S41+S14</f>
        <v>#REF!</v>
      </c>
      <c r="T66" s="137" t="e">
        <f>(T60*#REF!)+(T53*$J$53)+(T54*$J$54)+(T55*$J$55)+(T57*$J$57)+(T58*$J$58)+(T59*$J$59)+T47+T41+T14</f>
        <v>#REF!</v>
      </c>
      <c r="U66" s="137" t="e">
        <f>(U60*#REF!)+(U53*$J$53)+(U54*$J$54)+(U55*$J$55)+(U57*$J$57)+(U58*$J$58)+(U59*$J$59)+U47+U41+U14</f>
        <v>#REF!</v>
      </c>
      <c r="V66" s="137" t="e">
        <f>(V60*#REF!)+(V53*$J$53)+(V54*$J$54)+(V55*$J$55)+(AA57*$J$57)+(AA58*$J$58)+(AA59*$J$59)+V47+V41+V14</f>
        <v>#REF!</v>
      </c>
      <c r="W66" s="137" t="e">
        <f>(W60*#REF!)+(W53*$J$53)+(W54*$J$54)+(W55*$J$55)+(W57*$J$57)+(W58*$J$58)+(W59*$J$59)+W47+W41+W14</f>
        <v>#REF!</v>
      </c>
      <c r="X66" s="137" t="e">
        <f>(X60*#REF!)+(X53*$J$53)+(X54*$J$54)+(X55*$J$55)+(X57*$J$57)+(X58*$J$58)+(X59*$J$59)+X47+X41+X14</f>
        <v>#REF!</v>
      </c>
      <c r="Y66" s="137" t="e">
        <f>(Y60*#REF!)+(Y53*$J$53)+(Y54*$J$54)+(Y55*$J$55)+(Y57*$J$57)+(Y58*$J$58)+(Y59*$J$59)+Y47+Y41+Y14</f>
        <v>#REF!</v>
      </c>
      <c r="Z66" s="137" t="e">
        <f>(Z60*#REF!)+(Z53*$J$53)+(Z54*$J$54)+(Z55*$J$55)+(Z57*$J$57)+(Z58*$J$58)+(Z59*$J$59)+Z47+Z41+Z14</f>
        <v>#REF!</v>
      </c>
      <c r="AA66" s="137" t="e">
        <f>(AA60*#REF!)+(AA53*$J$53)+(AA54*$J$54)+(AA55*$J$55)+(#REF!*$J$57)+(#REF!*$J$58)+(#REF!*$J$59)+AA47+AA41+AA14</f>
        <v>#REF!</v>
      </c>
      <c r="AB66" s="137" t="e">
        <f>(AB60*#REF!)+(AB53*$J$53)+(AB54*$J$54)+(AB55*$J$55)+(AB57*$J$57)+(AB58*$J$58)+(AB59*$J$59)+AB47+AB41+AB14</f>
        <v>#REF!</v>
      </c>
      <c r="AC66" s="137"/>
      <c r="AD66" s="137"/>
      <c r="AE66" s="137"/>
      <c r="AF66" s="137"/>
      <c r="AG66" s="137"/>
      <c r="AH66" s="137"/>
      <c r="AI66" s="137"/>
    </row>
    <row r="68" spans="2:35" ht="12" customHeight="1" x14ac:dyDescent="0.2">
      <c r="H68" s="451"/>
      <c r="I68" s="151"/>
      <c r="J68" s="151"/>
    </row>
    <row r="69" spans="2:35" ht="12" customHeight="1" x14ac:dyDescent="0.2">
      <c r="H69" s="452"/>
      <c r="I69" s="122"/>
      <c r="J69" s="122"/>
      <c r="K69" s="146"/>
      <c r="L69" s="146"/>
      <c r="M69" s="146"/>
      <c r="N69" s="146"/>
      <c r="O69" s="146"/>
      <c r="P69" s="146"/>
      <c r="Q69" s="146"/>
      <c r="R69" s="146"/>
      <c r="S69" s="146"/>
      <c r="T69" s="146"/>
      <c r="U69" s="146"/>
      <c r="V69" s="146"/>
      <c r="W69" s="146"/>
      <c r="X69" s="146"/>
      <c r="Y69" s="146"/>
      <c r="Z69" s="146"/>
      <c r="AA69" s="146"/>
      <c r="AB69" s="146"/>
      <c r="AC69" s="146"/>
      <c r="AD69" s="146"/>
      <c r="AE69" s="146"/>
      <c r="AF69" s="146"/>
      <c r="AG69" s="146"/>
      <c r="AH69" s="146"/>
      <c r="AI69" s="146"/>
    </row>
    <row r="70" spans="2:35" ht="12" customHeight="1" x14ac:dyDescent="0.2">
      <c r="H70" s="452"/>
      <c r="I70" s="123"/>
      <c r="J70" s="123"/>
      <c r="K70" s="147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</row>
    <row r="71" spans="2:35" ht="12" customHeight="1" x14ac:dyDescent="0.2">
      <c r="H71" s="452"/>
      <c r="I71" s="131"/>
      <c r="J71" s="131"/>
      <c r="K71" s="115"/>
      <c r="L71" s="125"/>
      <c r="M71" s="116"/>
      <c r="N71" s="125"/>
      <c r="O71" s="116"/>
      <c r="P71" s="125"/>
      <c r="Q71" s="116"/>
      <c r="R71" s="125"/>
      <c r="S71" s="125"/>
      <c r="T71" s="125"/>
      <c r="U71" s="125"/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</row>
    <row r="72" spans="2:35" ht="12" customHeight="1" thickBot="1" x14ac:dyDescent="0.25"/>
    <row r="73" spans="2:35" ht="12" customHeight="1" x14ac:dyDescent="0.2">
      <c r="I73" s="84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</row>
    <row r="75" spans="2:35" ht="12" customHeight="1" thickBot="1" x14ac:dyDescent="0.25">
      <c r="B75" t="s">
        <v>129</v>
      </c>
    </row>
    <row r="76" spans="2:35" ht="12" customHeight="1" x14ac:dyDescent="0.2">
      <c r="B76" s="112" t="s">
        <v>130</v>
      </c>
      <c r="C76" s="132">
        <v>3824.47</v>
      </c>
      <c r="I76" s="84"/>
    </row>
    <row r="77" spans="2:35" ht="12" customHeight="1" x14ac:dyDescent="0.2">
      <c r="B77" s="112" t="s">
        <v>132</v>
      </c>
      <c r="C77" s="133">
        <f>C76*6.42%</f>
        <v>245.53097399999996</v>
      </c>
      <c r="G77" s="111">
        <f>SUM(C77:C79)/C76</f>
        <v>0.13420000000000001</v>
      </c>
      <c r="I77" s="148"/>
    </row>
    <row r="78" spans="2:35" ht="12" customHeight="1" x14ac:dyDescent="0.2">
      <c r="B78" s="112" t="s">
        <v>133</v>
      </c>
      <c r="C78" s="134">
        <f>C76*2%</f>
        <v>76.489400000000003</v>
      </c>
      <c r="I78" s="149"/>
    </row>
    <row r="79" spans="2:35" ht="12" customHeight="1" x14ac:dyDescent="0.2">
      <c r="B79" s="112" t="s">
        <v>134</v>
      </c>
      <c r="C79" s="134">
        <f>C76*5%</f>
        <v>191.2235</v>
      </c>
    </row>
    <row r="80" spans="2:35" ht="12" customHeight="1" x14ac:dyDescent="0.2">
      <c r="B80" s="112" t="s">
        <v>135</v>
      </c>
      <c r="C80" s="134">
        <f>C79*19%</f>
        <v>36.332464999999999</v>
      </c>
    </row>
    <row r="81" spans="2:5" ht="12" customHeight="1" x14ac:dyDescent="0.2">
      <c r="B81" s="112" t="s">
        <v>136</v>
      </c>
      <c r="C81" s="135">
        <f>SUM(C76:C80)</f>
        <v>4374.0463390000004</v>
      </c>
      <c r="D81">
        <v>530000</v>
      </c>
      <c r="E81" s="296">
        <f>C81*D81</f>
        <v>2318244559.6700001</v>
      </c>
    </row>
    <row r="83" spans="2:5" ht="12" customHeight="1" x14ac:dyDescent="0.2">
      <c r="B83" s="112" t="s">
        <v>130</v>
      </c>
      <c r="C83" s="132">
        <v>3970.41</v>
      </c>
    </row>
    <row r="84" spans="2:5" ht="12" customHeight="1" x14ac:dyDescent="0.2">
      <c r="B84" s="112" t="s">
        <v>132</v>
      </c>
      <c r="C84" s="133">
        <v>254.9</v>
      </c>
    </row>
    <row r="85" spans="2:5" ht="12" customHeight="1" x14ac:dyDescent="0.2">
      <c r="B85" s="112" t="s">
        <v>133</v>
      </c>
      <c r="C85" s="134">
        <v>79.41</v>
      </c>
    </row>
    <row r="86" spans="2:5" ht="12" customHeight="1" x14ac:dyDescent="0.2">
      <c r="B86" s="112" t="s">
        <v>134</v>
      </c>
      <c r="C86" s="134">
        <v>198.52</v>
      </c>
    </row>
    <row r="87" spans="2:5" ht="12" customHeight="1" x14ac:dyDescent="0.2">
      <c r="B87" s="112" t="s">
        <v>135</v>
      </c>
      <c r="C87" s="134">
        <f>C86*19%</f>
        <v>37.718800000000002</v>
      </c>
    </row>
    <row r="88" spans="2:5" ht="12" customHeight="1" x14ac:dyDescent="0.2">
      <c r="B88" s="112" t="s">
        <v>136</v>
      </c>
      <c r="C88" s="135">
        <f>SUM(C83:C87)</f>
        <v>4540.9587999999994</v>
      </c>
      <c r="D88">
        <v>530000</v>
      </c>
      <c r="E88" s="33">
        <f>C88*D88</f>
        <v>2406708163.9999995</v>
      </c>
    </row>
    <row r="104" spans="10:31" ht="12" customHeight="1" x14ac:dyDescent="0.2">
      <c r="K104" s="3"/>
      <c r="L104" s="3" t="s">
        <v>137</v>
      </c>
      <c r="M104" s="3"/>
      <c r="N104" s="3"/>
      <c r="O104" s="3"/>
      <c r="P104" s="3" t="s">
        <v>138</v>
      </c>
      <c r="Q104" s="3"/>
      <c r="R104" s="3" t="s">
        <v>138</v>
      </c>
      <c r="U104" s="3" t="s">
        <v>138</v>
      </c>
      <c r="W104" s="3" t="s">
        <v>138</v>
      </c>
      <c r="Z104" s="3" t="s">
        <v>138</v>
      </c>
      <c r="AB104" s="3" t="s">
        <v>139</v>
      </c>
    </row>
    <row r="105" spans="10:31" ht="12" customHeight="1" x14ac:dyDescent="0.2">
      <c r="J105" s="33">
        <v>530000</v>
      </c>
      <c r="L105">
        <v>151169.520010059</v>
      </c>
      <c r="P105">
        <v>50000</v>
      </c>
      <c r="S105">
        <v>50000</v>
      </c>
      <c r="U105">
        <v>88000</v>
      </c>
      <c r="W105">
        <v>88000</v>
      </c>
      <c r="Z105">
        <v>88000</v>
      </c>
      <c r="AB105">
        <v>14830.48</v>
      </c>
      <c r="AE105">
        <v>64869261</v>
      </c>
    </row>
    <row r="106" spans="10:31" ht="12" customHeight="1" x14ac:dyDescent="0.2">
      <c r="J106" t="e">
        <f>J105*#REF!</f>
        <v>#REF!</v>
      </c>
      <c r="K106" s="3"/>
      <c r="L106" s="33" t="e">
        <f>L105*#REF!</f>
        <v>#REF!</v>
      </c>
      <c r="P106" s="33" t="e">
        <f>P105*#REF!</f>
        <v>#REF!</v>
      </c>
      <c r="S106" s="33" t="e">
        <f>S105*#REF!</f>
        <v>#REF!</v>
      </c>
      <c r="U106" s="33" t="e">
        <f>U105*#REF!</f>
        <v>#REF!</v>
      </c>
      <c r="W106" s="33" t="e">
        <f>W105*#REF!</f>
        <v>#REF!</v>
      </c>
      <c r="Z106" s="33" t="e">
        <f>W106</f>
        <v>#REF!</v>
      </c>
      <c r="AB106" s="33" t="e">
        <f>AB105*#REF!</f>
        <v>#REF!</v>
      </c>
    </row>
    <row r="107" spans="10:31" ht="12" customHeight="1" x14ac:dyDescent="0.2">
      <c r="J107" s="33"/>
      <c r="L107" s="33"/>
    </row>
    <row r="108" spans="10:31" ht="12" customHeight="1" x14ac:dyDescent="0.2">
      <c r="J108" s="136"/>
    </row>
    <row r="109" spans="10:31" ht="12" customHeight="1" x14ac:dyDescent="0.2">
      <c r="J109" s="33"/>
      <c r="K109" s="34"/>
    </row>
  </sheetData>
  <mergeCells count="1">
    <mergeCell ref="H68:H71"/>
  </mergeCells>
  <phoneticPr fontId="22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6DE1C-D8C4-46FA-827E-C7CB11117512}">
  <sheetPr>
    <tabColor rgb="FFFFC000"/>
  </sheetPr>
  <dimension ref="B2:AS75"/>
  <sheetViews>
    <sheetView tabSelected="1" zoomScale="90" zoomScaleNormal="90" workbookViewId="0">
      <pane xSplit="3" ySplit="6" topLeftCell="D7" activePane="bottomRight" state="frozen"/>
      <selection pane="topRight" activeCell="D1" sqref="D1"/>
      <selection pane="bottomLeft" activeCell="A7" sqref="A7"/>
      <selection pane="bottomRight" activeCell="AG43" sqref="AG43"/>
    </sheetView>
  </sheetViews>
  <sheetFormatPr baseColWidth="10" defaultColWidth="11.5" defaultRowHeight="14" customHeight="1" x14ac:dyDescent="0.2"/>
  <cols>
    <col min="3" max="3" width="23.33203125" customWidth="1"/>
    <col min="4" max="4" width="20.5" customWidth="1"/>
    <col min="5" max="6" width="24" customWidth="1"/>
    <col min="7" max="7" width="25.33203125" customWidth="1"/>
    <col min="8" max="8" width="26.5" customWidth="1"/>
    <col min="9" max="9" width="22.1640625" customWidth="1"/>
    <col min="10" max="10" width="25.33203125" customWidth="1"/>
    <col min="12" max="12" width="19.1640625" customWidth="1"/>
    <col min="13" max="13" width="19.33203125" customWidth="1"/>
    <col min="14" max="14" width="15.33203125" customWidth="1"/>
    <col min="15" max="15" width="21.6640625" customWidth="1"/>
    <col min="16" max="16" width="16.5" customWidth="1"/>
    <col min="17" max="17" width="21.33203125" customWidth="1"/>
    <col min="18" max="18" width="27.33203125" customWidth="1"/>
    <col min="19" max="19" width="23" customWidth="1"/>
    <col min="20" max="20" width="22.33203125" customWidth="1"/>
    <col min="22" max="22" width="22.1640625" customWidth="1"/>
    <col min="23" max="23" width="21.6640625" customWidth="1"/>
    <col min="24" max="24" width="24.5" customWidth="1"/>
    <col min="25" max="25" width="21.1640625" customWidth="1"/>
    <col min="26" max="26" width="23.33203125" customWidth="1"/>
    <col min="27" max="27" width="20.5" customWidth="1"/>
    <col min="28" max="28" width="25.6640625" customWidth="1"/>
    <col min="29" max="29" width="21.83203125" customWidth="1"/>
    <col min="30" max="30" width="23.33203125" customWidth="1"/>
    <col min="31" max="31" width="20.83203125" customWidth="1"/>
    <col min="32" max="32" width="24.6640625" customWidth="1"/>
    <col min="33" max="33" width="21" customWidth="1"/>
    <col min="34" max="34" width="20.83203125" bestFit="1" customWidth="1"/>
    <col min="35" max="35" width="23" bestFit="1" customWidth="1"/>
    <col min="36" max="36" width="22.1640625" customWidth="1"/>
    <col min="39" max="39" width="15.83203125" bestFit="1" customWidth="1"/>
    <col min="40" max="40" width="25.6640625" customWidth="1"/>
    <col min="41" max="41" width="20.6640625" customWidth="1"/>
    <col min="42" max="42" width="15.83203125" bestFit="1" customWidth="1"/>
    <col min="44" max="44" width="16.83203125" bestFit="1" customWidth="1"/>
    <col min="45" max="45" width="17.6640625" bestFit="1" customWidth="1"/>
  </cols>
  <sheetData>
    <row r="2" spans="2:45" ht="15" customHeight="1" x14ac:dyDescent="0.2"/>
    <row r="5" spans="2:45" ht="14" customHeight="1" x14ac:dyDescent="0.2">
      <c r="I5">
        <f>I12</f>
        <v>8</v>
      </c>
      <c r="J5">
        <f t="shared" ref="J5:AK5" si="0">J12</f>
        <v>9</v>
      </c>
      <c r="K5">
        <f t="shared" si="0"/>
        <v>10</v>
      </c>
      <c r="L5">
        <f t="shared" si="0"/>
        <v>11</v>
      </c>
      <c r="M5">
        <f t="shared" si="0"/>
        <v>12</v>
      </c>
      <c r="N5">
        <f t="shared" si="0"/>
        <v>13</v>
      </c>
      <c r="O5">
        <f t="shared" si="0"/>
        <v>14</v>
      </c>
      <c r="P5">
        <f t="shared" si="0"/>
        <v>15</v>
      </c>
      <c r="Q5">
        <f t="shared" si="0"/>
        <v>16</v>
      </c>
      <c r="R5">
        <f t="shared" si="0"/>
        <v>17</v>
      </c>
      <c r="S5">
        <f t="shared" si="0"/>
        <v>18</v>
      </c>
      <c r="T5">
        <f t="shared" si="0"/>
        <v>19</v>
      </c>
      <c r="U5">
        <f t="shared" si="0"/>
        <v>20</v>
      </c>
      <c r="V5">
        <f t="shared" si="0"/>
        <v>21</v>
      </c>
      <c r="W5">
        <f t="shared" si="0"/>
        <v>22</v>
      </c>
      <c r="X5">
        <f t="shared" si="0"/>
        <v>23</v>
      </c>
      <c r="Y5">
        <f t="shared" si="0"/>
        <v>24</v>
      </c>
      <c r="Z5">
        <f t="shared" si="0"/>
        <v>25</v>
      </c>
      <c r="AA5">
        <f t="shared" si="0"/>
        <v>26</v>
      </c>
      <c r="AB5">
        <f t="shared" si="0"/>
        <v>27</v>
      </c>
      <c r="AC5">
        <f t="shared" si="0"/>
        <v>28</v>
      </c>
      <c r="AD5">
        <f t="shared" si="0"/>
        <v>29</v>
      </c>
      <c r="AE5">
        <f t="shared" si="0"/>
        <v>30</v>
      </c>
      <c r="AF5">
        <f t="shared" si="0"/>
        <v>31</v>
      </c>
      <c r="AG5">
        <f t="shared" si="0"/>
        <v>32</v>
      </c>
      <c r="AH5">
        <f t="shared" si="0"/>
        <v>33</v>
      </c>
      <c r="AI5">
        <f t="shared" si="0"/>
        <v>34</v>
      </c>
      <c r="AJ5">
        <f t="shared" si="0"/>
        <v>35</v>
      </c>
      <c r="AK5">
        <f t="shared" si="0"/>
        <v>36</v>
      </c>
      <c r="AL5">
        <f>AL12</f>
        <v>37</v>
      </c>
      <c r="AM5">
        <f>AM12</f>
        <v>38</v>
      </c>
      <c r="AN5">
        <f>AN12</f>
        <v>39</v>
      </c>
      <c r="AO5">
        <f t="shared" ref="AO5:AS5" si="1">AO12</f>
        <v>40</v>
      </c>
      <c r="AP5">
        <f t="shared" si="1"/>
        <v>41</v>
      </c>
      <c r="AQ5">
        <f t="shared" si="1"/>
        <v>42</v>
      </c>
      <c r="AR5">
        <f t="shared" si="1"/>
        <v>43</v>
      </c>
      <c r="AS5">
        <f t="shared" si="1"/>
        <v>44</v>
      </c>
    </row>
    <row r="6" spans="2:45" ht="14" customHeight="1" thickBot="1" x14ac:dyDescent="0.25">
      <c r="I6" s="121" t="s">
        <v>6</v>
      </c>
      <c r="J6" s="121" t="s">
        <v>4</v>
      </c>
      <c r="K6" s="113" t="s">
        <v>7</v>
      </c>
      <c r="L6" s="113" t="s">
        <v>8</v>
      </c>
      <c r="M6" s="113" t="s">
        <v>9</v>
      </c>
      <c r="N6" s="113" t="s">
        <v>10</v>
      </c>
      <c r="O6" s="114" t="s">
        <v>11</v>
      </c>
      <c r="P6" s="113" t="s">
        <v>12</v>
      </c>
      <c r="Q6" s="113" t="s">
        <v>13</v>
      </c>
      <c r="R6" s="113" t="s">
        <v>14</v>
      </c>
      <c r="S6" s="113" t="s">
        <v>15</v>
      </c>
      <c r="T6" s="114" t="s">
        <v>16</v>
      </c>
      <c r="U6" s="113" t="s">
        <v>17</v>
      </c>
      <c r="V6" s="113" t="s">
        <v>18</v>
      </c>
      <c r="W6" s="113" t="s">
        <v>19</v>
      </c>
      <c r="X6" s="113" t="s">
        <v>20</v>
      </c>
      <c r="Y6" s="114" t="s">
        <v>21</v>
      </c>
      <c r="Z6" s="113" t="s">
        <v>22</v>
      </c>
      <c r="AA6" s="113" t="s">
        <v>23</v>
      </c>
      <c r="AB6" s="113" t="s">
        <v>24</v>
      </c>
      <c r="AC6" s="113" t="s">
        <v>25</v>
      </c>
      <c r="AD6" s="114" t="s">
        <v>26</v>
      </c>
      <c r="AE6" s="113" t="s">
        <v>27</v>
      </c>
      <c r="AF6" s="113" t="s">
        <v>28</v>
      </c>
      <c r="AG6" s="113" t="s">
        <v>29</v>
      </c>
      <c r="AH6" s="113" t="s">
        <v>30</v>
      </c>
      <c r="AI6" s="114" t="s">
        <v>31</v>
      </c>
      <c r="AJ6" s="113" t="s">
        <v>27</v>
      </c>
      <c r="AK6" s="113" t="s">
        <v>28</v>
      </c>
      <c r="AL6" s="113" t="s">
        <v>29</v>
      </c>
      <c r="AM6" s="113" t="s">
        <v>30</v>
      </c>
      <c r="AN6" s="114" t="s">
        <v>230</v>
      </c>
      <c r="AO6" s="113" t="s">
        <v>27</v>
      </c>
      <c r="AP6" s="113" t="s">
        <v>28</v>
      </c>
      <c r="AQ6" s="113" t="s">
        <v>29</v>
      </c>
      <c r="AR6" s="113" t="s">
        <v>30</v>
      </c>
      <c r="AS6" s="114" t="s">
        <v>331</v>
      </c>
    </row>
    <row r="7" spans="2:45" ht="14" customHeight="1" x14ac:dyDescent="0.2">
      <c r="C7" s="29" t="s">
        <v>175</v>
      </c>
      <c r="D7" s="49">
        <v>530000</v>
      </c>
      <c r="E7" s="49" t="s">
        <v>125</v>
      </c>
      <c r="F7" s="124">
        <v>4753.95</v>
      </c>
      <c r="G7" s="124">
        <f>+D7*F7</f>
        <v>2519593500</v>
      </c>
      <c r="H7" s="176" t="s">
        <v>233</v>
      </c>
      <c r="I7" s="112"/>
      <c r="J7" s="112"/>
      <c r="K7" s="333"/>
      <c r="L7" s="333"/>
      <c r="M7" s="333"/>
      <c r="N7" s="333"/>
      <c r="O7" s="333">
        <f t="shared" ref="O7" si="2">SUM(K7:N7)</f>
        <v>0</v>
      </c>
      <c r="P7" s="333"/>
      <c r="Q7" s="333"/>
      <c r="R7" s="333"/>
      <c r="S7" s="333">
        <v>0</v>
      </c>
      <c r="T7" s="333">
        <f t="shared" ref="T7" si="3">SUM(P7:S7)</f>
        <v>0</v>
      </c>
      <c r="U7" s="333"/>
      <c r="V7" s="333"/>
      <c r="W7" s="333">
        <v>54616.82</v>
      </c>
      <c r="X7" s="333"/>
      <c r="Y7" s="333">
        <f t="shared" ref="Y7" si="4">SUM(U7:X7)</f>
        <v>54616.82</v>
      </c>
      <c r="Z7" s="333"/>
      <c r="AA7" s="254">
        <v>29594.550599999999</v>
      </c>
      <c r="AB7" s="254">
        <v>25521.409439999999</v>
      </c>
      <c r="AC7" s="254"/>
      <c r="AD7" s="333">
        <f t="shared" ref="AD7" si="5">SUM(Z7:AC7)</f>
        <v>55115.960039999998</v>
      </c>
      <c r="AE7" s="254">
        <v>31010.073</v>
      </c>
      <c r="AF7" s="333"/>
      <c r="AG7" s="333">
        <v>27561.385999999999</v>
      </c>
      <c r="AH7" s="333"/>
      <c r="AI7" s="333">
        <f t="shared" ref="AI7" si="6">SUM(AE7:AH7)</f>
        <v>58571.459000000003</v>
      </c>
      <c r="AJ7" s="333">
        <v>31254</v>
      </c>
      <c r="AK7" s="333"/>
      <c r="AL7" s="333"/>
      <c r="AM7" s="333"/>
      <c r="AN7" s="333">
        <f t="shared" ref="AN7" si="7">SUM(AJ7:AM7)</f>
        <v>31254</v>
      </c>
      <c r="AO7" s="333"/>
      <c r="AP7" s="333"/>
      <c r="AQ7" s="333"/>
      <c r="AR7" s="333"/>
      <c r="AS7" s="333">
        <f t="shared" ref="AS7" si="8">SUM(AO7:AR7)</f>
        <v>0</v>
      </c>
    </row>
    <row r="8" spans="2:45" ht="14" customHeight="1" x14ac:dyDescent="0.2">
      <c r="H8" s="176" t="s">
        <v>234</v>
      </c>
      <c r="I8" s="186">
        <f>(O8+T8+Y8+AD8+AI8+AN8)-O8</f>
        <v>1102160154.2179203</v>
      </c>
      <c r="J8" s="326">
        <v>5523</v>
      </c>
      <c r="K8" s="112"/>
      <c r="L8" s="112"/>
      <c r="M8" s="331">
        <v>870811200</v>
      </c>
      <c r="N8" s="112"/>
      <c r="O8" s="135">
        <f>M8</f>
        <v>870811200</v>
      </c>
      <c r="P8" s="135">
        <f t="shared" ref="P8:X8" si="9">$J$8*P7</f>
        <v>0</v>
      </c>
      <c r="Q8" s="135">
        <f t="shared" si="9"/>
        <v>0</v>
      </c>
      <c r="R8" s="135">
        <f t="shared" si="9"/>
        <v>0</v>
      </c>
      <c r="S8" s="135">
        <f t="shared" si="9"/>
        <v>0</v>
      </c>
      <c r="T8" s="135">
        <f t="shared" si="9"/>
        <v>0</v>
      </c>
      <c r="U8" s="135">
        <f t="shared" si="9"/>
        <v>0</v>
      </c>
      <c r="V8" s="135">
        <f t="shared" si="9"/>
        <v>0</v>
      </c>
      <c r="W8" s="135">
        <f t="shared" si="9"/>
        <v>301648696.86000001</v>
      </c>
      <c r="X8" s="135">
        <f t="shared" si="9"/>
        <v>0</v>
      </c>
      <c r="Y8" s="135">
        <f>$J$8*Y7</f>
        <v>301648696.86000001</v>
      </c>
      <c r="Z8" s="135">
        <f t="shared" ref="Z8" si="10">$J$8*Z7</f>
        <v>0</v>
      </c>
      <c r="AA8" s="135">
        <f t="shared" ref="AA8" si="11">$J$8*AA7</f>
        <v>163450702.96379998</v>
      </c>
      <c r="AB8" s="135">
        <f t="shared" ref="AB8" si="12">$J$8*AB7</f>
        <v>140954744.33712</v>
      </c>
      <c r="AC8" s="135">
        <f t="shared" ref="AC8" si="13">$J$8*AC7</f>
        <v>0</v>
      </c>
      <c r="AD8" s="135">
        <f t="shared" ref="AD8" si="14">$J$8*AD7</f>
        <v>304405447.30092001</v>
      </c>
      <c r="AE8" s="135">
        <f t="shared" ref="AE8" si="15">$J$8*AE7</f>
        <v>171268633.17899999</v>
      </c>
      <c r="AF8" s="135">
        <f t="shared" ref="AF8" si="16">$J$8*AF7</f>
        <v>0</v>
      </c>
      <c r="AG8" s="135">
        <f t="shared" ref="AG8" si="17">$J$8*AG7</f>
        <v>152221534.87799999</v>
      </c>
      <c r="AH8" s="135">
        <f t="shared" ref="AH8" si="18">$J$8*AH7</f>
        <v>0</v>
      </c>
      <c r="AI8" s="135">
        <f t="shared" ref="AI8" si="19">$J$8*AI7</f>
        <v>323490168.05700004</v>
      </c>
      <c r="AJ8" s="135">
        <f t="shared" ref="AJ8" si="20">$J$8*AJ7</f>
        <v>172615842</v>
      </c>
      <c r="AK8" s="135">
        <f t="shared" ref="AK8" si="21">$J$8*AK7</f>
        <v>0</v>
      </c>
      <c r="AL8" s="135">
        <f t="shared" ref="AL8" si="22">$J$8*AL7</f>
        <v>0</v>
      </c>
      <c r="AM8" s="135">
        <f t="shared" ref="AM8" si="23">$J$8*AM7</f>
        <v>0</v>
      </c>
      <c r="AN8" s="135">
        <f t="shared" ref="AN8:AR8" si="24">$J$8*AN7</f>
        <v>172615842</v>
      </c>
      <c r="AO8" s="135">
        <f t="shared" si="24"/>
        <v>0</v>
      </c>
      <c r="AP8" s="135">
        <f t="shared" si="24"/>
        <v>0</v>
      </c>
      <c r="AQ8" s="135">
        <f t="shared" si="24"/>
        <v>0</v>
      </c>
      <c r="AR8" s="135">
        <f t="shared" si="24"/>
        <v>0</v>
      </c>
      <c r="AS8" s="135">
        <f t="shared" ref="AS8" si="25">$J$8*AS7</f>
        <v>0</v>
      </c>
    </row>
    <row r="9" spans="2:45" ht="14" customHeight="1" x14ac:dyDescent="0.2">
      <c r="AB9" s="33"/>
      <c r="AC9" s="33"/>
    </row>
    <row r="12" spans="2:45" ht="14" customHeight="1" x14ac:dyDescent="0.2">
      <c r="B12">
        <v>1</v>
      </c>
      <c r="C12">
        <v>2</v>
      </c>
      <c r="D12">
        <v>3</v>
      </c>
      <c r="E12">
        <v>4</v>
      </c>
      <c r="F12">
        <v>5</v>
      </c>
      <c r="G12">
        <v>6</v>
      </c>
      <c r="H12">
        <v>7</v>
      </c>
      <c r="I12">
        <v>8</v>
      </c>
      <c r="J12">
        <v>9</v>
      </c>
      <c r="K12">
        <v>10</v>
      </c>
      <c r="L12">
        <v>11</v>
      </c>
      <c r="M12">
        <v>12</v>
      </c>
      <c r="N12">
        <v>13</v>
      </c>
      <c r="O12">
        <v>14</v>
      </c>
      <c r="P12">
        <v>15</v>
      </c>
      <c r="Q12">
        <v>16</v>
      </c>
      <c r="R12">
        <v>17</v>
      </c>
      <c r="S12">
        <v>18</v>
      </c>
      <c r="T12">
        <v>19</v>
      </c>
      <c r="U12">
        <v>20</v>
      </c>
      <c r="V12">
        <v>21</v>
      </c>
      <c r="W12">
        <v>22</v>
      </c>
      <c r="X12">
        <v>23</v>
      </c>
      <c r="Y12">
        <v>24</v>
      </c>
      <c r="Z12">
        <v>25</v>
      </c>
      <c r="AA12">
        <v>26</v>
      </c>
      <c r="AB12">
        <v>27</v>
      </c>
      <c r="AC12">
        <v>28</v>
      </c>
      <c r="AD12">
        <v>29</v>
      </c>
      <c r="AE12">
        <v>30</v>
      </c>
      <c r="AF12">
        <v>31</v>
      </c>
      <c r="AG12">
        <v>32</v>
      </c>
      <c r="AH12">
        <v>33</v>
      </c>
      <c r="AI12">
        <v>34</v>
      </c>
      <c r="AJ12">
        <v>35</v>
      </c>
      <c r="AK12">
        <v>36</v>
      </c>
      <c r="AL12">
        <v>37</v>
      </c>
      <c r="AM12">
        <v>38</v>
      </c>
      <c r="AN12">
        <v>39</v>
      </c>
      <c r="AO12">
        <v>40</v>
      </c>
      <c r="AP12">
        <v>41</v>
      </c>
      <c r="AQ12">
        <v>42</v>
      </c>
      <c r="AR12">
        <v>43</v>
      </c>
      <c r="AS12">
        <v>44</v>
      </c>
    </row>
    <row r="13" spans="2:45" ht="14" customHeight="1" x14ac:dyDescent="0.2">
      <c r="B13" s="36" t="s">
        <v>0</v>
      </c>
      <c r="C13" s="36" t="s">
        <v>1</v>
      </c>
      <c r="D13" s="37" t="s">
        <v>2</v>
      </c>
      <c r="E13" s="37" t="s">
        <v>3</v>
      </c>
      <c r="F13" s="120" t="s">
        <v>4</v>
      </c>
      <c r="G13" s="120" t="s">
        <v>5</v>
      </c>
      <c r="I13" s="121" t="s">
        <v>6</v>
      </c>
      <c r="J13" s="121" t="s">
        <v>4</v>
      </c>
      <c r="K13" s="113" t="s">
        <v>7</v>
      </c>
      <c r="L13" s="113" t="s">
        <v>8</v>
      </c>
      <c r="M13" s="113" t="s">
        <v>9</v>
      </c>
      <c r="N13" s="113" t="s">
        <v>10</v>
      </c>
      <c r="O13" s="114" t="s">
        <v>11</v>
      </c>
      <c r="P13" s="113" t="s">
        <v>12</v>
      </c>
      <c r="Q13" s="113" t="s">
        <v>13</v>
      </c>
      <c r="R13" s="113" t="s">
        <v>14</v>
      </c>
      <c r="S13" s="113" t="s">
        <v>15</v>
      </c>
      <c r="T13" s="114" t="s">
        <v>16</v>
      </c>
      <c r="U13" s="113" t="s">
        <v>17</v>
      </c>
      <c r="V13" s="113" t="s">
        <v>18</v>
      </c>
      <c r="W13" s="113" t="s">
        <v>19</v>
      </c>
      <c r="X13" s="113" t="s">
        <v>20</v>
      </c>
      <c r="Y13" s="114" t="s">
        <v>21</v>
      </c>
      <c r="Z13" s="113" t="s">
        <v>22</v>
      </c>
      <c r="AA13" s="113" t="s">
        <v>23</v>
      </c>
      <c r="AB13" s="113" t="s">
        <v>24</v>
      </c>
      <c r="AC13" s="113" t="s">
        <v>25</v>
      </c>
      <c r="AD13" s="114" t="s">
        <v>26</v>
      </c>
      <c r="AE13" s="113" t="s">
        <v>27</v>
      </c>
      <c r="AF13" s="113" t="s">
        <v>28</v>
      </c>
      <c r="AG13" s="113" t="s">
        <v>29</v>
      </c>
      <c r="AH13" s="113" t="s">
        <v>30</v>
      </c>
      <c r="AI13" s="114" t="s">
        <v>31</v>
      </c>
      <c r="AJ13" s="113" t="s">
        <v>27</v>
      </c>
      <c r="AK13" s="113" t="s">
        <v>28</v>
      </c>
      <c r="AL13" s="113" t="s">
        <v>29</v>
      </c>
      <c r="AM13" s="113" t="s">
        <v>30</v>
      </c>
      <c r="AN13" s="114" t="s">
        <v>31</v>
      </c>
      <c r="AO13" s="113" t="s">
        <v>27</v>
      </c>
      <c r="AP13" s="113" t="s">
        <v>28</v>
      </c>
      <c r="AQ13" s="113" t="s">
        <v>29</v>
      </c>
      <c r="AR13" s="113" t="s">
        <v>30</v>
      </c>
      <c r="AS13" s="114" t="s">
        <v>31</v>
      </c>
    </row>
    <row r="14" spans="2:45" ht="14" customHeight="1" x14ac:dyDescent="0.2">
      <c r="B14" s="41">
        <v>1</v>
      </c>
      <c r="C14" s="122" t="s">
        <v>32</v>
      </c>
      <c r="D14" s="122"/>
      <c r="E14" s="122"/>
      <c r="F14" s="122"/>
      <c r="G14" s="122">
        <f>SUM(G15,G22,G26,G29,G39)</f>
        <v>150533984.5625</v>
      </c>
      <c r="I14" s="180">
        <f t="shared" ref="I14" si="26">SUM(I15,I22,I26,I29,I39)</f>
        <v>88200771</v>
      </c>
      <c r="J14" s="180">
        <f t="shared" ref="J14:AI14" si="27">SUM(J15,J22,J26,J29,J39)</f>
        <v>123876289</v>
      </c>
      <c r="K14" s="180">
        <f t="shared" si="27"/>
        <v>0</v>
      </c>
      <c r="L14" s="180">
        <f t="shared" si="27"/>
        <v>0</v>
      </c>
      <c r="M14" s="180">
        <f t="shared" si="27"/>
        <v>64463869</v>
      </c>
      <c r="N14" s="180">
        <f t="shared" si="27"/>
        <v>2435886</v>
      </c>
      <c r="O14" s="340">
        <f t="shared" si="27"/>
        <v>66899755</v>
      </c>
      <c r="P14" s="180">
        <f t="shared" si="27"/>
        <v>0</v>
      </c>
      <c r="Q14" s="180">
        <f t="shared" si="27"/>
        <v>0</v>
      </c>
      <c r="R14" s="180">
        <f t="shared" si="27"/>
        <v>0</v>
      </c>
      <c r="S14" s="180">
        <f t="shared" si="27"/>
        <v>10362570</v>
      </c>
      <c r="T14" s="340">
        <f t="shared" si="27"/>
        <v>10362570</v>
      </c>
      <c r="U14" s="180">
        <f t="shared" si="27"/>
        <v>0</v>
      </c>
      <c r="V14" s="180">
        <f t="shared" si="27"/>
        <v>0</v>
      </c>
      <c r="W14" s="180">
        <f t="shared" si="27"/>
        <v>0</v>
      </c>
      <c r="X14" s="180">
        <f t="shared" si="27"/>
        <v>7315258</v>
      </c>
      <c r="Y14" s="340">
        <f t="shared" si="27"/>
        <v>7315258</v>
      </c>
      <c r="Z14" s="180">
        <f t="shared" si="27"/>
        <v>0</v>
      </c>
      <c r="AA14" s="180">
        <f t="shared" si="27"/>
        <v>0</v>
      </c>
      <c r="AB14" s="180">
        <f t="shared" si="27"/>
        <v>0</v>
      </c>
      <c r="AC14" s="180">
        <f t="shared" si="27"/>
        <v>3623188</v>
      </c>
      <c r="AD14" s="340">
        <f t="shared" si="27"/>
        <v>3623188</v>
      </c>
      <c r="AE14" s="180">
        <f t="shared" si="27"/>
        <v>0</v>
      </c>
      <c r="AF14" s="180">
        <f t="shared" si="27"/>
        <v>0</v>
      </c>
      <c r="AG14" s="180">
        <f t="shared" si="27"/>
        <v>0</v>
      </c>
      <c r="AH14" s="180">
        <f t="shared" si="27"/>
        <v>3623188</v>
      </c>
      <c r="AI14" s="340">
        <f t="shared" si="27"/>
        <v>0</v>
      </c>
      <c r="AJ14" s="180">
        <f t="shared" ref="AJ14:AN14" si="28">SUM(AJ15,AJ22,AJ26,AJ29,AJ39)</f>
        <v>0</v>
      </c>
      <c r="AK14" s="180">
        <f t="shared" si="28"/>
        <v>0</v>
      </c>
      <c r="AL14" s="180">
        <f t="shared" si="28"/>
        <v>0</v>
      </c>
      <c r="AM14" s="180">
        <f t="shared" si="28"/>
        <v>0</v>
      </c>
      <c r="AN14" s="340">
        <f t="shared" si="28"/>
        <v>0</v>
      </c>
      <c r="AO14" s="180">
        <f t="shared" ref="AO14:AS14" si="29">SUM(AO15,AO22,AO26,AO29,AO39)</f>
        <v>0</v>
      </c>
      <c r="AP14" s="180">
        <f t="shared" si="29"/>
        <v>0</v>
      </c>
      <c r="AQ14" s="180">
        <f t="shared" si="29"/>
        <v>0</v>
      </c>
      <c r="AR14" s="180">
        <f t="shared" si="29"/>
        <v>0</v>
      </c>
      <c r="AS14" s="340">
        <f t="shared" si="29"/>
        <v>0</v>
      </c>
    </row>
    <row r="15" spans="2:45" ht="14" customHeight="1" x14ac:dyDescent="0.2">
      <c r="B15" s="51" t="s">
        <v>33</v>
      </c>
      <c r="C15" s="52" t="s">
        <v>34</v>
      </c>
      <c r="D15" s="123">
        <f t="shared" ref="D15:F15" si="30">SUM(D16:D21)</f>
        <v>6</v>
      </c>
      <c r="E15" s="123">
        <f t="shared" si="30"/>
        <v>0</v>
      </c>
      <c r="F15" s="123">
        <f t="shared" si="30"/>
        <v>18295782.187500004</v>
      </c>
      <c r="G15" s="123">
        <f>SUM(G16:G21)</f>
        <v>18295782.187500004</v>
      </c>
      <c r="I15" s="184">
        <f>SUM(I16:I21)</f>
        <v>5917366</v>
      </c>
      <c r="J15" s="184">
        <f t="shared" ref="J15" si="31">SUM(J16:J21)</f>
        <v>5917366</v>
      </c>
      <c r="K15" s="184">
        <f t="shared" ref="K15:AI15" si="32">SUM(K16:K21)</f>
        <v>0</v>
      </c>
      <c r="L15" s="184">
        <f t="shared" si="32"/>
        <v>0</v>
      </c>
      <c r="M15" s="184">
        <f t="shared" si="32"/>
        <v>5917366</v>
      </c>
      <c r="N15" s="184">
        <f t="shared" si="32"/>
        <v>0</v>
      </c>
      <c r="O15" s="195">
        <f t="shared" si="32"/>
        <v>5917366</v>
      </c>
      <c r="P15" s="184">
        <f t="shared" si="32"/>
        <v>0</v>
      </c>
      <c r="Q15" s="184">
        <f t="shared" si="32"/>
        <v>0</v>
      </c>
      <c r="R15" s="184">
        <f t="shared" si="32"/>
        <v>0</v>
      </c>
      <c r="S15" s="184">
        <f t="shared" si="32"/>
        <v>0</v>
      </c>
      <c r="T15" s="195">
        <f t="shared" si="32"/>
        <v>0</v>
      </c>
      <c r="U15" s="184">
        <f t="shared" si="32"/>
        <v>0</v>
      </c>
      <c r="V15" s="184">
        <f t="shared" si="32"/>
        <v>0</v>
      </c>
      <c r="W15" s="184">
        <f t="shared" si="32"/>
        <v>0</v>
      </c>
      <c r="X15" s="184">
        <f t="shared" si="32"/>
        <v>0</v>
      </c>
      <c r="Y15" s="195">
        <f t="shared" si="32"/>
        <v>0</v>
      </c>
      <c r="Z15" s="184">
        <f t="shared" si="32"/>
        <v>0</v>
      </c>
      <c r="AA15" s="184">
        <f t="shared" si="32"/>
        <v>0</v>
      </c>
      <c r="AB15" s="184">
        <f t="shared" si="32"/>
        <v>0</v>
      </c>
      <c r="AC15" s="184">
        <f t="shared" si="32"/>
        <v>0</v>
      </c>
      <c r="AD15" s="195">
        <f t="shared" si="32"/>
        <v>0</v>
      </c>
      <c r="AE15" s="184">
        <f t="shared" si="32"/>
        <v>0</v>
      </c>
      <c r="AF15" s="184">
        <f t="shared" si="32"/>
        <v>0</v>
      </c>
      <c r="AG15" s="184">
        <f t="shared" si="32"/>
        <v>0</v>
      </c>
      <c r="AH15" s="184">
        <f t="shared" si="32"/>
        <v>0</v>
      </c>
      <c r="AI15" s="195">
        <f t="shared" si="32"/>
        <v>0</v>
      </c>
      <c r="AJ15" s="184">
        <f t="shared" ref="AJ15:AN15" si="33">SUM(AJ16:AJ21)</f>
        <v>0</v>
      </c>
      <c r="AK15" s="184">
        <f t="shared" si="33"/>
        <v>0</v>
      </c>
      <c r="AL15" s="184">
        <f t="shared" si="33"/>
        <v>0</v>
      </c>
      <c r="AM15" s="184">
        <f t="shared" si="33"/>
        <v>0</v>
      </c>
      <c r="AN15" s="195">
        <f t="shared" si="33"/>
        <v>0</v>
      </c>
      <c r="AO15" s="184">
        <f t="shared" ref="AO15:AS15" si="34">SUM(AO16:AO21)</f>
        <v>0</v>
      </c>
      <c r="AP15" s="184">
        <f t="shared" si="34"/>
        <v>0</v>
      </c>
      <c r="AQ15" s="184">
        <f t="shared" si="34"/>
        <v>0</v>
      </c>
      <c r="AR15" s="184">
        <f t="shared" si="34"/>
        <v>0</v>
      </c>
      <c r="AS15" s="195">
        <f t="shared" si="34"/>
        <v>0</v>
      </c>
    </row>
    <row r="16" spans="2:45" ht="14" customHeight="1" x14ac:dyDescent="0.2">
      <c r="B16" s="47" t="s">
        <v>35</v>
      </c>
      <c r="C16" s="48" t="s">
        <v>36</v>
      </c>
      <c r="D16" s="49">
        <v>1</v>
      </c>
      <c r="E16" s="49" t="s">
        <v>37</v>
      </c>
      <c r="F16" s="124">
        <v>3512790.18</v>
      </c>
      <c r="G16" s="124">
        <f>+D16*F16</f>
        <v>3512790.18</v>
      </c>
      <c r="I16" s="187">
        <f>O16+T16+Y16+AD16+AI16+AN16</f>
        <v>516713.12</v>
      </c>
      <c r="J16" s="187">
        <v>516713.12</v>
      </c>
      <c r="K16" s="187"/>
      <c r="L16" s="187"/>
      <c r="M16" s="187">
        <v>516713.12</v>
      </c>
      <c r="N16" s="187"/>
      <c r="O16" s="337">
        <f>SUM(K16:N16)</f>
        <v>516713.12</v>
      </c>
      <c r="P16" s="187"/>
      <c r="Q16" s="187"/>
      <c r="R16" s="187"/>
      <c r="S16" s="187"/>
      <c r="T16" s="337">
        <f>SUM(P16:S16)</f>
        <v>0</v>
      </c>
      <c r="U16" s="187"/>
      <c r="V16" s="187"/>
      <c r="W16" s="187"/>
      <c r="X16" s="187"/>
      <c r="Y16" s="337">
        <f>SUM(U16:X16)</f>
        <v>0</v>
      </c>
      <c r="Z16" s="187"/>
      <c r="AA16" s="187"/>
      <c r="AB16" s="187"/>
      <c r="AC16" s="187"/>
      <c r="AD16" s="337">
        <f>SUM(Z16:AC16)</f>
        <v>0</v>
      </c>
      <c r="AE16" s="187"/>
      <c r="AF16" s="187"/>
      <c r="AG16" s="187"/>
      <c r="AH16" s="187"/>
      <c r="AI16" s="337">
        <f>SUM(AE16:AH16)</f>
        <v>0</v>
      </c>
      <c r="AJ16" s="187"/>
      <c r="AK16" s="187"/>
      <c r="AL16" s="187"/>
      <c r="AM16" s="187"/>
      <c r="AN16" s="337">
        <f>SUM(AJ16:AM16)</f>
        <v>0</v>
      </c>
      <c r="AO16" s="187"/>
      <c r="AP16" s="187"/>
      <c r="AQ16" s="187"/>
      <c r="AR16" s="187"/>
      <c r="AS16" s="337">
        <f>SUM(AO16:AR16)</f>
        <v>0</v>
      </c>
    </row>
    <row r="17" spans="2:45" ht="14" customHeight="1" x14ac:dyDescent="0.2">
      <c r="B17" s="47" t="s">
        <v>38</v>
      </c>
      <c r="C17" s="48" t="s">
        <v>39</v>
      </c>
      <c r="D17" s="49">
        <v>1</v>
      </c>
      <c r="E17" s="49" t="s">
        <v>37</v>
      </c>
      <c r="F17" s="124">
        <v>3073691.4075000002</v>
      </c>
      <c r="G17" s="124">
        <f t="shared" ref="G17:G21" si="35">+D17*F17</f>
        <v>3073691.4075000002</v>
      </c>
      <c r="I17" s="187">
        <f t="shared" ref="I17:I21" si="36">O17+T17+Y17+AD17+AI17+AN17</f>
        <v>465741.43</v>
      </c>
      <c r="J17" s="187">
        <v>465741.43</v>
      </c>
      <c r="K17" s="187"/>
      <c r="L17" s="187"/>
      <c r="M17" s="187">
        <v>465741.43</v>
      </c>
      <c r="N17" s="187"/>
      <c r="O17" s="337">
        <f t="shared" ref="O17:O21" si="37">SUM(K17:N17)</f>
        <v>465741.43</v>
      </c>
      <c r="P17" s="187"/>
      <c r="Q17" s="187"/>
      <c r="R17" s="187"/>
      <c r="S17" s="187"/>
      <c r="T17" s="337">
        <f t="shared" ref="T17:T21" si="38">SUM(P17:S17)</f>
        <v>0</v>
      </c>
      <c r="U17" s="187"/>
      <c r="V17" s="187"/>
      <c r="W17" s="187"/>
      <c r="X17" s="187"/>
      <c r="Y17" s="337">
        <f t="shared" ref="Y17:Y21" si="39">SUM(U17:X17)</f>
        <v>0</v>
      </c>
      <c r="Z17" s="187"/>
      <c r="AA17" s="187"/>
      <c r="AB17" s="187"/>
      <c r="AC17" s="187"/>
      <c r="AD17" s="337">
        <f t="shared" ref="AD17:AD21" si="40">SUM(Z17:AC17)</f>
        <v>0</v>
      </c>
      <c r="AE17" s="187"/>
      <c r="AF17" s="187"/>
      <c r="AG17" s="187"/>
      <c r="AH17" s="187"/>
      <c r="AI17" s="337">
        <f t="shared" ref="AI17:AI21" si="41">SUM(AE17:AH17)</f>
        <v>0</v>
      </c>
      <c r="AJ17" s="187"/>
      <c r="AK17" s="187"/>
      <c r="AL17" s="187"/>
      <c r="AM17" s="187"/>
      <c r="AN17" s="337">
        <f t="shared" ref="AN17:AN21" si="42">SUM(AJ17:AM17)</f>
        <v>0</v>
      </c>
      <c r="AO17" s="187"/>
      <c r="AP17" s="187"/>
      <c r="AQ17" s="187"/>
      <c r="AR17" s="187"/>
      <c r="AS17" s="337">
        <f t="shared" ref="AS17:AS21" si="43">SUM(AO17:AR17)</f>
        <v>0</v>
      </c>
    </row>
    <row r="18" spans="2:45" ht="14" customHeight="1" x14ac:dyDescent="0.2">
      <c r="B18" s="47" t="s">
        <v>40</v>
      </c>
      <c r="C18" s="48" t="s">
        <v>41</v>
      </c>
      <c r="D18" s="49">
        <v>1</v>
      </c>
      <c r="E18" s="49" t="s">
        <v>37</v>
      </c>
      <c r="F18" s="124">
        <v>2049127.6049999997</v>
      </c>
      <c r="G18" s="124">
        <f t="shared" si="35"/>
        <v>2049127.6049999997</v>
      </c>
      <c r="I18" s="187">
        <f t="shared" si="36"/>
        <v>349306.07</v>
      </c>
      <c r="J18" s="187">
        <v>349306.07</v>
      </c>
      <c r="K18" s="187"/>
      <c r="L18" s="187"/>
      <c r="M18" s="187">
        <v>349306.07</v>
      </c>
      <c r="N18" s="187"/>
      <c r="O18" s="337">
        <f t="shared" si="37"/>
        <v>349306.07</v>
      </c>
      <c r="P18" s="187"/>
      <c r="Q18" s="187"/>
      <c r="R18" s="187"/>
      <c r="S18" s="187"/>
      <c r="T18" s="337">
        <f t="shared" si="38"/>
        <v>0</v>
      </c>
      <c r="U18" s="187"/>
      <c r="V18" s="187"/>
      <c r="W18" s="187"/>
      <c r="X18" s="187"/>
      <c r="Y18" s="337">
        <f t="shared" si="39"/>
        <v>0</v>
      </c>
      <c r="Z18" s="187"/>
      <c r="AA18" s="187"/>
      <c r="AB18" s="187"/>
      <c r="AC18" s="187"/>
      <c r="AD18" s="337">
        <f t="shared" si="40"/>
        <v>0</v>
      </c>
      <c r="AE18" s="187"/>
      <c r="AF18" s="187"/>
      <c r="AG18" s="187"/>
      <c r="AH18" s="187"/>
      <c r="AI18" s="337">
        <f t="shared" si="41"/>
        <v>0</v>
      </c>
      <c r="AJ18" s="187"/>
      <c r="AK18" s="187"/>
      <c r="AL18" s="187"/>
      <c r="AM18" s="187"/>
      <c r="AN18" s="337">
        <f t="shared" si="42"/>
        <v>0</v>
      </c>
      <c r="AO18" s="187"/>
      <c r="AP18" s="187"/>
      <c r="AQ18" s="187"/>
      <c r="AR18" s="187"/>
      <c r="AS18" s="337">
        <f t="shared" si="43"/>
        <v>0</v>
      </c>
    </row>
    <row r="19" spans="2:45" ht="14" customHeight="1" x14ac:dyDescent="0.2">
      <c r="B19" s="47" t="s">
        <v>42</v>
      </c>
      <c r="C19" s="48" t="s">
        <v>43</v>
      </c>
      <c r="D19" s="49">
        <v>1</v>
      </c>
      <c r="E19" s="49" t="s">
        <v>37</v>
      </c>
      <c r="F19" s="124">
        <v>3073691.4075000002</v>
      </c>
      <c r="G19" s="124">
        <f t="shared" si="35"/>
        <v>3073691.4075000002</v>
      </c>
      <c r="I19" s="187">
        <f t="shared" si="36"/>
        <v>4184037.86</v>
      </c>
      <c r="J19" s="187">
        <v>4184037.86</v>
      </c>
      <c r="K19" s="187"/>
      <c r="L19" s="187"/>
      <c r="M19" s="187">
        <v>4184037.86</v>
      </c>
      <c r="N19" s="187"/>
      <c r="O19" s="337">
        <f t="shared" si="37"/>
        <v>4184037.86</v>
      </c>
      <c r="P19" s="187"/>
      <c r="Q19" s="187"/>
      <c r="R19" s="187"/>
      <c r="S19" s="187"/>
      <c r="T19" s="337">
        <f t="shared" si="38"/>
        <v>0</v>
      </c>
      <c r="U19" s="187"/>
      <c r="V19" s="187"/>
      <c r="W19" s="187"/>
      <c r="X19" s="187"/>
      <c r="Y19" s="337">
        <f t="shared" si="39"/>
        <v>0</v>
      </c>
      <c r="Z19" s="187"/>
      <c r="AA19" s="187"/>
      <c r="AB19" s="187"/>
      <c r="AC19" s="187"/>
      <c r="AD19" s="337">
        <f t="shared" si="40"/>
        <v>0</v>
      </c>
      <c r="AE19" s="187"/>
      <c r="AF19" s="187"/>
      <c r="AG19" s="187"/>
      <c r="AH19" s="187"/>
      <c r="AI19" s="337">
        <f t="shared" si="41"/>
        <v>0</v>
      </c>
      <c r="AJ19" s="187"/>
      <c r="AK19" s="187"/>
      <c r="AL19" s="187"/>
      <c r="AM19" s="187"/>
      <c r="AN19" s="337">
        <f t="shared" si="42"/>
        <v>0</v>
      </c>
      <c r="AO19" s="187"/>
      <c r="AP19" s="187"/>
      <c r="AQ19" s="187"/>
      <c r="AR19" s="187"/>
      <c r="AS19" s="337">
        <f t="shared" si="43"/>
        <v>0</v>
      </c>
    </row>
    <row r="20" spans="2:45" ht="14" customHeight="1" x14ac:dyDescent="0.2">
      <c r="B20" s="47" t="s">
        <v>44</v>
      </c>
      <c r="C20" s="48" t="s">
        <v>45</v>
      </c>
      <c r="D20" s="49">
        <v>1</v>
      </c>
      <c r="E20" s="49" t="s">
        <v>37</v>
      </c>
      <c r="F20" s="124">
        <v>3073691.4075000002</v>
      </c>
      <c r="G20" s="124">
        <f t="shared" si="35"/>
        <v>3073691.4075000002</v>
      </c>
      <c r="I20" s="187">
        <f t="shared" si="36"/>
        <v>9282</v>
      </c>
      <c r="J20" s="187">
        <v>9282</v>
      </c>
      <c r="K20" s="187"/>
      <c r="L20" s="187"/>
      <c r="M20" s="187">
        <v>9282</v>
      </c>
      <c r="N20" s="187"/>
      <c r="O20" s="337">
        <f t="shared" si="37"/>
        <v>9282</v>
      </c>
      <c r="P20" s="187"/>
      <c r="Q20" s="187"/>
      <c r="R20" s="187"/>
      <c r="S20" s="187"/>
      <c r="T20" s="337">
        <f t="shared" si="38"/>
        <v>0</v>
      </c>
      <c r="U20" s="187"/>
      <c r="V20" s="187"/>
      <c r="W20" s="187"/>
      <c r="X20" s="187"/>
      <c r="Y20" s="337">
        <f t="shared" si="39"/>
        <v>0</v>
      </c>
      <c r="Z20" s="187"/>
      <c r="AA20" s="187"/>
      <c r="AB20" s="187"/>
      <c r="AC20" s="187"/>
      <c r="AD20" s="337">
        <f t="shared" si="40"/>
        <v>0</v>
      </c>
      <c r="AE20" s="187"/>
      <c r="AF20" s="187"/>
      <c r="AG20" s="187"/>
      <c r="AH20" s="187"/>
      <c r="AI20" s="337">
        <f t="shared" si="41"/>
        <v>0</v>
      </c>
      <c r="AJ20" s="187"/>
      <c r="AK20" s="187"/>
      <c r="AL20" s="187"/>
      <c r="AM20" s="187"/>
      <c r="AN20" s="337">
        <f t="shared" si="42"/>
        <v>0</v>
      </c>
      <c r="AO20" s="187"/>
      <c r="AP20" s="187"/>
      <c r="AQ20" s="187"/>
      <c r="AR20" s="187"/>
      <c r="AS20" s="337">
        <f t="shared" si="43"/>
        <v>0</v>
      </c>
    </row>
    <row r="21" spans="2:45" ht="28.5" customHeight="1" x14ac:dyDescent="0.2">
      <c r="B21" s="47" t="s">
        <v>46</v>
      </c>
      <c r="C21" s="48" t="s">
        <v>47</v>
      </c>
      <c r="D21" s="49">
        <v>1</v>
      </c>
      <c r="E21" s="49" t="s">
        <v>37</v>
      </c>
      <c r="F21" s="124">
        <v>3512790.18</v>
      </c>
      <c r="G21" s="124">
        <f t="shared" si="35"/>
        <v>3512790.18</v>
      </c>
      <c r="I21" s="187">
        <f t="shared" si="36"/>
        <v>392285.52</v>
      </c>
      <c r="J21" s="187">
        <f>197018.52+195267</f>
        <v>392285.52</v>
      </c>
      <c r="K21" s="187"/>
      <c r="L21" s="187"/>
      <c r="M21" s="187">
        <f>197018.52+195267</f>
        <v>392285.52</v>
      </c>
      <c r="N21" s="187"/>
      <c r="O21" s="337">
        <f t="shared" si="37"/>
        <v>392285.52</v>
      </c>
      <c r="P21" s="187"/>
      <c r="Q21" s="187"/>
      <c r="R21" s="187"/>
      <c r="S21" s="187"/>
      <c r="T21" s="337">
        <f t="shared" si="38"/>
        <v>0</v>
      </c>
      <c r="U21" s="187"/>
      <c r="V21" s="187"/>
      <c r="W21" s="187"/>
      <c r="X21" s="187"/>
      <c r="Y21" s="337">
        <f t="shared" si="39"/>
        <v>0</v>
      </c>
      <c r="Z21" s="187"/>
      <c r="AA21" s="187"/>
      <c r="AB21" s="187"/>
      <c r="AC21" s="187"/>
      <c r="AD21" s="337">
        <f t="shared" si="40"/>
        <v>0</v>
      </c>
      <c r="AE21" s="187"/>
      <c r="AF21" s="187"/>
      <c r="AG21" s="187"/>
      <c r="AH21" s="187"/>
      <c r="AI21" s="337">
        <f t="shared" si="41"/>
        <v>0</v>
      </c>
      <c r="AJ21" s="187"/>
      <c r="AK21" s="187"/>
      <c r="AL21" s="187"/>
      <c r="AM21" s="187"/>
      <c r="AN21" s="337">
        <f t="shared" si="42"/>
        <v>0</v>
      </c>
      <c r="AO21" s="187"/>
      <c r="AP21" s="187"/>
      <c r="AQ21" s="187"/>
      <c r="AR21" s="187"/>
      <c r="AS21" s="337">
        <f t="shared" si="43"/>
        <v>0</v>
      </c>
    </row>
    <row r="22" spans="2:45" ht="14" customHeight="1" x14ac:dyDescent="0.2">
      <c r="B22" s="51" t="s">
        <v>48</v>
      </c>
      <c r="C22" s="52" t="s">
        <v>49</v>
      </c>
      <c r="D22" s="46"/>
      <c r="E22" s="46"/>
      <c r="F22" s="123"/>
      <c r="G22" s="123">
        <f>SUM(G23:G25)</f>
        <v>48300864.975000001</v>
      </c>
      <c r="I22" s="184">
        <f t="shared" ref="I22" si="44">SUM(I23:I25)</f>
        <v>0</v>
      </c>
      <c r="J22" s="184">
        <f t="shared" ref="J22:R22" si="45">SUM(J23:J25)</f>
        <v>48300863</v>
      </c>
      <c r="K22" s="184">
        <f t="shared" si="45"/>
        <v>0</v>
      </c>
      <c r="L22" s="184">
        <f t="shared" si="45"/>
        <v>0</v>
      </c>
      <c r="M22" s="184">
        <f t="shared" si="45"/>
        <v>0</v>
      </c>
      <c r="N22" s="184">
        <f t="shared" si="45"/>
        <v>0</v>
      </c>
      <c r="O22" s="195">
        <f t="shared" si="45"/>
        <v>0</v>
      </c>
      <c r="P22" s="184">
        <f t="shared" si="45"/>
        <v>0</v>
      </c>
      <c r="Q22" s="184">
        <f t="shared" si="45"/>
        <v>0</v>
      </c>
      <c r="R22" s="184">
        <f t="shared" si="45"/>
        <v>0</v>
      </c>
      <c r="S22" s="184">
        <f t="shared" ref="S22:AI22" si="46">SUM(S23:S25)</f>
        <v>0</v>
      </c>
      <c r="T22" s="195">
        <f t="shared" si="46"/>
        <v>0</v>
      </c>
      <c r="U22" s="184">
        <f t="shared" si="46"/>
        <v>0</v>
      </c>
      <c r="V22" s="184">
        <f t="shared" si="46"/>
        <v>0</v>
      </c>
      <c r="W22" s="184">
        <f t="shared" si="46"/>
        <v>0</v>
      </c>
      <c r="X22" s="184">
        <f t="shared" si="46"/>
        <v>0</v>
      </c>
      <c r="Y22" s="195">
        <f t="shared" si="46"/>
        <v>0</v>
      </c>
      <c r="Z22" s="184">
        <f t="shared" si="46"/>
        <v>0</v>
      </c>
      <c r="AA22" s="184">
        <f t="shared" si="46"/>
        <v>0</v>
      </c>
      <c r="AB22" s="184">
        <f t="shared" si="46"/>
        <v>0</v>
      </c>
      <c r="AC22" s="184">
        <f t="shared" si="46"/>
        <v>0</v>
      </c>
      <c r="AD22" s="195">
        <f t="shared" si="46"/>
        <v>0</v>
      </c>
      <c r="AE22" s="184">
        <f t="shared" si="46"/>
        <v>0</v>
      </c>
      <c r="AF22" s="184">
        <f t="shared" si="46"/>
        <v>0</v>
      </c>
      <c r="AG22" s="184">
        <f t="shared" si="46"/>
        <v>0</v>
      </c>
      <c r="AH22" s="184">
        <f t="shared" si="46"/>
        <v>0</v>
      </c>
      <c r="AI22" s="195">
        <f t="shared" si="46"/>
        <v>0</v>
      </c>
      <c r="AJ22" s="184">
        <f t="shared" ref="AJ22:AN22" si="47">SUM(AJ23:AJ25)</f>
        <v>0</v>
      </c>
      <c r="AK22" s="184">
        <f t="shared" si="47"/>
        <v>0</v>
      </c>
      <c r="AL22" s="184">
        <f t="shared" si="47"/>
        <v>0</v>
      </c>
      <c r="AM22" s="184">
        <f t="shared" si="47"/>
        <v>0</v>
      </c>
      <c r="AN22" s="195">
        <f t="shared" si="47"/>
        <v>0</v>
      </c>
      <c r="AO22" s="184">
        <f t="shared" ref="AO22:AS22" si="48">SUM(AO23:AO25)</f>
        <v>0</v>
      </c>
      <c r="AP22" s="184">
        <f t="shared" si="48"/>
        <v>0</v>
      </c>
      <c r="AQ22" s="184">
        <f t="shared" si="48"/>
        <v>0</v>
      </c>
      <c r="AR22" s="184">
        <f t="shared" si="48"/>
        <v>0</v>
      </c>
      <c r="AS22" s="195">
        <f t="shared" si="48"/>
        <v>0</v>
      </c>
    </row>
    <row r="23" spans="2:45" ht="14" customHeight="1" x14ac:dyDescent="0.2">
      <c r="B23" s="47" t="s">
        <v>50</v>
      </c>
      <c r="C23" s="48" t="s">
        <v>51</v>
      </c>
      <c r="D23" s="49">
        <v>1</v>
      </c>
      <c r="E23" s="49" t="s">
        <v>37</v>
      </c>
      <c r="F23" s="124">
        <v>7318312.875</v>
      </c>
      <c r="G23" s="124">
        <f t="shared" ref="G23:G25" si="49">+D23*F23</f>
        <v>7318312.875</v>
      </c>
      <c r="I23" s="187">
        <f t="shared" ref="I23:I25" si="50">O23+T23+Y23+AD23+AI23+AN23</f>
        <v>0</v>
      </c>
      <c r="J23" s="187">
        <v>7318312</v>
      </c>
      <c r="K23" s="187"/>
      <c r="L23" s="187"/>
      <c r="M23" s="187"/>
      <c r="N23" s="187"/>
      <c r="O23" s="337">
        <f t="shared" ref="O23:O25" si="51">SUM(K23:N23)</f>
        <v>0</v>
      </c>
      <c r="P23" s="187"/>
      <c r="Q23" s="187"/>
      <c r="R23" s="187"/>
      <c r="S23" s="187"/>
      <c r="T23" s="337">
        <f t="shared" ref="T23:T25" si="52">SUM(P23:S23)</f>
        <v>0</v>
      </c>
      <c r="U23" s="187"/>
      <c r="V23" s="187"/>
      <c r="W23" s="187"/>
      <c r="X23" s="187"/>
      <c r="Y23" s="337">
        <f t="shared" ref="Y23:Y25" si="53">SUM(U23:X23)</f>
        <v>0</v>
      </c>
      <c r="Z23" s="187"/>
      <c r="AA23" s="187"/>
      <c r="AB23" s="187"/>
      <c r="AC23" s="187"/>
      <c r="AD23" s="337">
        <f t="shared" ref="AD23:AD25" si="54">SUM(Z23:AC23)</f>
        <v>0</v>
      </c>
      <c r="AE23" s="187"/>
      <c r="AF23" s="187"/>
      <c r="AG23" s="187"/>
      <c r="AH23" s="187"/>
      <c r="AI23" s="337">
        <f t="shared" ref="AI23:AI25" si="55">SUM(AE23:AH23)</f>
        <v>0</v>
      </c>
      <c r="AJ23" s="187"/>
      <c r="AK23" s="187"/>
      <c r="AL23" s="187"/>
      <c r="AM23" s="187"/>
      <c r="AN23" s="337">
        <f t="shared" ref="AN23:AN25" si="56">SUM(AJ23:AM23)</f>
        <v>0</v>
      </c>
      <c r="AO23" s="187"/>
      <c r="AP23" s="187"/>
      <c r="AQ23" s="187"/>
      <c r="AR23" s="187"/>
      <c r="AS23" s="337">
        <f t="shared" ref="AS23:AS25" si="57">SUM(AO23:AR23)</f>
        <v>0</v>
      </c>
    </row>
    <row r="24" spans="2:45" ht="14" customHeight="1" x14ac:dyDescent="0.2">
      <c r="B24" s="47" t="s">
        <v>52</v>
      </c>
      <c r="C24" s="48" t="s">
        <v>53</v>
      </c>
      <c r="D24" s="49">
        <v>1</v>
      </c>
      <c r="E24" s="49" t="s">
        <v>37</v>
      </c>
      <c r="F24" s="124">
        <v>29273251.5</v>
      </c>
      <c r="G24" s="124">
        <f t="shared" si="49"/>
        <v>29273251.5</v>
      </c>
      <c r="I24" s="187">
        <f t="shared" si="50"/>
        <v>0</v>
      </c>
      <c r="J24" s="187">
        <v>29273251</v>
      </c>
      <c r="K24" s="187"/>
      <c r="L24" s="187"/>
      <c r="M24" s="187"/>
      <c r="N24" s="187"/>
      <c r="O24" s="337">
        <f t="shared" si="51"/>
        <v>0</v>
      </c>
      <c r="P24" s="187"/>
      <c r="Q24" s="187"/>
      <c r="R24" s="187"/>
      <c r="S24" s="187"/>
      <c r="T24" s="337">
        <f t="shared" si="52"/>
        <v>0</v>
      </c>
      <c r="U24" s="187"/>
      <c r="V24" s="187"/>
      <c r="W24" s="187"/>
      <c r="X24" s="187"/>
      <c r="Y24" s="337">
        <f t="shared" si="53"/>
        <v>0</v>
      </c>
      <c r="Z24" s="187"/>
      <c r="AA24" s="187"/>
      <c r="AB24" s="187"/>
      <c r="AC24" s="187"/>
      <c r="AD24" s="337">
        <f t="shared" si="54"/>
        <v>0</v>
      </c>
      <c r="AE24" s="187"/>
      <c r="AF24" s="187"/>
      <c r="AG24" s="187"/>
      <c r="AH24" s="187"/>
      <c r="AI24" s="337">
        <f t="shared" si="55"/>
        <v>0</v>
      </c>
      <c r="AJ24" s="187"/>
      <c r="AK24" s="187"/>
      <c r="AL24" s="187"/>
      <c r="AM24" s="187"/>
      <c r="AN24" s="337">
        <f t="shared" si="56"/>
        <v>0</v>
      </c>
      <c r="AO24" s="187"/>
      <c r="AP24" s="187"/>
      <c r="AQ24" s="187"/>
      <c r="AR24" s="187"/>
      <c r="AS24" s="337">
        <f t="shared" si="57"/>
        <v>0</v>
      </c>
    </row>
    <row r="25" spans="2:45" ht="14" customHeight="1" x14ac:dyDescent="0.2">
      <c r="B25" s="47" t="s">
        <v>54</v>
      </c>
      <c r="C25" s="48" t="s">
        <v>55</v>
      </c>
      <c r="D25" s="49">
        <v>1</v>
      </c>
      <c r="E25" s="49" t="s">
        <v>37</v>
      </c>
      <c r="F25" s="124">
        <v>11709300.6</v>
      </c>
      <c r="G25" s="124">
        <f t="shared" si="49"/>
        <v>11709300.6</v>
      </c>
      <c r="I25" s="187">
        <f t="shared" si="50"/>
        <v>0</v>
      </c>
      <c r="J25" s="187">
        <v>11709300</v>
      </c>
      <c r="K25" s="187"/>
      <c r="L25" s="187"/>
      <c r="M25" s="187"/>
      <c r="N25" s="187"/>
      <c r="O25" s="337">
        <f t="shared" si="51"/>
        <v>0</v>
      </c>
      <c r="P25" s="187"/>
      <c r="Q25" s="187"/>
      <c r="R25" s="187"/>
      <c r="S25" s="187"/>
      <c r="T25" s="337">
        <f t="shared" si="52"/>
        <v>0</v>
      </c>
      <c r="U25" s="187"/>
      <c r="V25" s="187"/>
      <c r="W25" s="187"/>
      <c r="X25" s="187"/>
      <c r="Y25" s="337">
        <f t="shared" si="53"/>
        <v>0</v>
      </c>
      <c r="Z25" s="187"/>
      <c r="AA25" s="187"/>
      <c r="AB25" s="187"/>
      <c r="AC25" s="187"/>
      <c r="AD25" s="337">
        <f t="shared" si="54"/>
        <v>0</v>
      </c>
      <c r="AE25" s="187"/>
      <c r="AF25" s="187"/>
      <c r="AG25" s="187"/>
      <c r="AH25" s="187"/>
      <c r="AI25" s="337">
        <f t="shared" si="55"/>
        <v>0</v>
      </c>
      <c r="AJ25" s="187"/>
      <c r="AK25" s="187"/>
      <c r="AL25" s="187"/>
      <c r="AM25" s="187"/>
      <c r="AN25" s="337">
        <f t="shared" si="56"/>
        <v>0</v>
      </c>
      <c r="AO25" s="187"/>
      <c r="AP25" s="187"/>
      <c r="AQ25" s="187"/>
      <c r="AR25" s="187"/>
      <c r="AS25" s="337">
        <f t="shared" si="57"/>
        <v>0</v>
      </c>
    </row>
    <row r="26" spans="2:45" ht="14" customHeight="1" x14ac:dyDescent="0.2">
      <c r="B26" s="51" t="s">
        <v>56</v>
      </c>
      <c r="C26" s="52" t="s">
        <v>57</v>
      </c>
      <c r="D26" s="46"/>
      <c r="E26" s="46"/>
      <c r="F26" s="123"/>
      <c r="G26" s="277">
        <f>G27</f>
        <v>24640000</v>
      </c>
      <c r="I26" s="190">
        <f t="shared" ref="I26:AI26" si="58">SUM(I27:I28)</f>
        <v>23736902</v>
      </c>
      <c r="J26" s="190">
        <f t="shared" si="58"/>
        <v>10450000</v>
      </c>
      <c r="K26" s="190">
        <f t="shared" si="58"/>
        <v>0</v>
      </c>
      <c r="L26" s="190">
        <f t="shared" si="58"/>
        <v>0</v>
      </c>
      <c r="M26" s="190">
        <f t="shared" si="58"/>
        <v>0</v>
      </c>
      <c r="N26" s="190">
        <f t="shared" si="58"/>
        <v>2435886</v>
      </c>
      <c r="O26" s="337">
        <f t="shared" si="58"/>
        <v>2435886</v>
      </c>
      <c r="P26" s="190">
        <f t="shared" si="58"/>
        <v>0</v>
      </c>
      <c r="Q26" s="190">
        <f t="shared" si="58"/>
        <v>0</v>
      </c>
      <c r="R26" s="190">
        <f t="shared" si="58"/>
        <v>0</v>
      </c>
      <c r="S26" s="190">
        <f t="shared" si="58"/>
        <v>10362570</v>
      </c>
      <c r="T26" s="337">
        <f t="shared" si="58"/>
        <v>10362570</v>
      </c>
      <c r="U26" s="190">
        <f t="shared" si="58"/>
        <v>0</v>
      </c>
      <c r="V26" s="190">
        <f t="shared" si="58"/>
        <v>0</v>
      </c>
      <c r="W26" s="190">
        <f t="shared" si="58"/>
        <v>0</v>
      </c>
      <c r="X26" s="190">
        <f t="shared" si="58"/>
        <v>7315258</v>
      </c>
      <c r="Y26" s="337">
        <f t="shared" si="58"/>
        <v>7315258</v>
      </c>
      <c r="Z26" s="190">
        <f t="shared" si="58"/>
        <v>0</v>
      </c>
      <c r="AA26" s="190">
        <f t="shared" si="58"/>
        <v>0</v>
      </c>
      <c r="AB26" s="190">
        <f t="shared" si="58"/>
        <v>0</v>
      </c>
      <c r="AC26" s="190">
        <f t="shared" si="58"/>
        <v>3623188</v>
      </c>
      <c r="AD26" s="337">
        <f t="shared" si="58"/>
        <v>3623188</v>
      </c>
      <c r="AE26" s="190">
        <f t="shared" si="58"/>
        <v>0</v>
      </c>
      <c r="AF26" s="190">
        <f t="shared" si="58"/>
        <v>0</v>
      </c>
      <c r="AG26" s="190">
        <f t="shared" si="58"/>
        <v>0</v>
      </c>
      <c r="AH26" s="190">
        <f t="shared" si="58"/>
        <v>3623188</v>
      </c>
      <c r="AI26" s="337">
        <f t="shared" si="58"/>
        <v>0</v>
      </c>
      <c r="AJ26" s="190">
        <f t="shared" ref="AJ26:AN26" si="59">SUM(AJ27:AJ28)</f>
        <v>0</v>
      </c>
      <c r="AK26" s="190">
        <f t="shared" si="59"/>
        <v>0</v>
      </c>
      <c r="AL26" s="190">
        <f t="shared" si="59"/>
        <v>0</v>
      </c>
      <c r="AM26" s="190">
        <f t="shared" si="59"/>
        <v>0</v>
      </c>
      <c r="AN26" s="337">
        <f t="shared" si="59"/>
        <v>0</v>
      </c>
      <c r="AO26" s="190">
        <f t="shared" ref="AO26:AS26" si="60">SUM(AO27:AO28)</f>
        <v>0</v>
      </c>
      <c r="AP26" s="190">
        <f t="shared" si="60"/>
        <v>0</v>
      </c>
      <c r="AQ26" s="190">
        <f t="shared" si="60"/>
        <v>0</v>
      </c>
      <c r="AR26" s="190">
        <f t="shared" si="60"/>
        <v>0</v>
      </c>
      <c r="AS26" s="337">
        <f t="shared" si="60"/>
        <v>0</v>
      </c>
    </row>
    <row r="27" spans="2:45" ht="26.25" customHeight="1" x14ac:dyDescent="0.2">
      <c r="B27" s="138" t="s">
        <v>58</v>
      </c>
      <c r="C27" s="139" t="s">
        <v>59</v>
      </c>
      <c r="D27" s="140">
        <v>4</v>
      </c>
      <c r="E27" s="140" t="s">
        <v>60</v>
      </c>
      <c r="F27" s="50">
        <v>6160000</v>
      </c>
      <c r="G27" s="50">
        <f t="shared" ref="G27" si="61">+D27*F27</f>
        <v>24640000</v>
      </c>
      <c r="H27" s="1"/>
      <c r="I27" s="187">
        <f t="shared" ref="I27:I28" si="62">O27+T27+Y27+AD27+AI27+AN27</f>
        <v>12643338</v>
      </c>
      <c r="J27" s="187">
        <v>7000000</v>
      </c>
      <c r="K27" s="187"/>
      <c r="L27" s="187"/>
      <c r="M27" s="187"/>
      <c r="N27" s="187">
        <v>2435886</v>
      </c>
      <c r="O27" s="337">
        <f>SUM(K27:N27)</f>
        <v>2435886</v>
      </c>
      <c r="P27" s="187"/>
      <c r="Q27" s="187"/>
      <c r="R27" s="187"/>
      <c r="S27" s="187">
        <v>6515382</v>
      </c>
      <c r="T27" s="337">
        <f>SUM(P27:S27)</f>
        <v>6515382</v>
      </c>
      <c r="U27" s="187"/>
      <c r="V27" s="187"/>
      <c r="W27" s="187"/>
      <c r="X27" s="187">
        <v>3692070</v>
      </c>
      <c r="Y27" s="337">
        <f>SUM(U27:X27)</f>
        <v>3692070</v>
      </c>
      <c r="Z27" s="187"/>
      <c r="AA27" s="187"/>
      <c r="AB27" s="187"/>
      <c r="AC27" s="187"/>
      <c r="AD27" s="337">
        <f>SUM(Z27:AC27)</f>
        <v>0</v>
      </c>
      <c r="AE27" s="187"/>
      <c r="AF27" s="187"/>
      <c r="AG27" s="187"/>
      <c r="AH27" s="187"/>
      <c r="AI27" s="337">
        <f>SUM(AE27:AH27)</f>
        <v>0</v>
      </c>
      <c r="AJ27" s="187"/>
      <c r="AK27" s="187"/>
      <c r="AL27" s="187"/>
      <c r="AM27" s="187"/>
      <c r="AN27" s="337">
        <f>SUM(AJ27:AM27)</f>
        <v>0</v>
      </c>
      <c r="AO27" s="187"/>
      <c r="AP27" s="187"/>
      <c r="AQ27" s="187"/>
      <c r="AR27" s="187"/>
      <c r="AS27" s="337">
        <f>SUM(AO27:AR27)</f>
        <v>0</v>
      </c>
    </row>
    <row r="28" spans="2:45" ht="26.25" customHeight="1" x14ac:dyDescent="0.2">
      <c r="B28" s="267" t="s">
        <v>185</v>
      </c>
      <c r="C28" s="268" t="s">
        <v>235</v>
      </c>
      <c r="D28" s="269">
        <v>4</v>
      </c>
      <c r="E28" s="269" t="s">
        <v>232</v>
      </c>
      <c r="F28" s="270">
        <f>2300000*1.5</f>
        <v>3450000</v>
      </c>
      <c r="G28" s="270">
        <f>F28*D28</f>
        <v>13800000</v>
      </c>
      <c r="H28" s="1"/>
      <c r="I28" s="187">
        <f t="shared" si="62"/>
        <v>11093564</v>
      </c>
      <c r="J28" s="269">
        <f>2300000*1.5</f>
        <v>3450000</v>
      </c>
      <c r="K28" s="271"/>
      <c r="L28" s="271"/>
      <c r="M28" s="271"/>
      <c r="N28" s="271"/>
      <c r="O28" s="337"/>
      <c r="P28" s="271"/>
      <c r="Q28" s="271"/>
      <c r="R28" s="271"/>
      <c r="S28" s="271">
        <v>3847188</v>
      </c>
      <c r="T28" s="337">
        <f>SUM(P28:S28)</f>
        <v>3847188</v>
      </c>
      <c r="U28" s="271"/>
      <c r="V28" s="271"/>
      <c r="W28" s="271"/>
      <c r="X28" s="272">
        <v>3623188</v>
      </c>
      <c r="Y28" s="337">
        <f>SUM(U28:X28)</f>
        <v>3623188</v>
      </c>
      <c r="Z28" s="271"/>
      <c r="AA28" s="271"/>
      <c r="AB28" s="271"/>
      <c r="AC28" s="272">
        <v>3623188</v>
      </c>
      <c r="AD28" s="337">
        <f>SUM(Z28:AC28)</f>
        <v>3623188</v>
      </c>
      <c r="AE28" s="271"/>
      <c r="AF28" s="271"/>
      <c r="AG28" s="271"/>
      <c r="AH28" s="271">
        <v>3623188</v>
      </c>
      <c r="AI28" s="337"/>
      <c r="AJ28" s="271"/>
      <c r="AK28" s="271"/>
      <c r="AL28" s="271"/>
      <c r="AM28" s="271"/>
      <c r="AN28" s="337"/>
      <c r="AO28" s="271"/>
      <c r="AP28" s="271"/>
      <c r="AQ28" s="271"/>
      <c r="AR28" s="271"/>
      <c r="AS28" s="337"/>
    </row>
    <row r="29" spans="2:45" ht="15.75" customHeight="1" x14ac:dyDescent="0.2">
      <c r="B29" s="44" t="s">
        <v>61</v>
      </c>
      <c r="C29" s="45" t="s">
        <v>62</v>
      </c>
      <c r="D29" s="46"/>
      <c r="E29" s="46"/>
      <c r="F29" s="123"/>
      <c r="G29" s="123">
        <f>SUM(G30:G38)</f>
        <v>750834.39999999991</v>
      </c>
      <c r="I29" s="184">
        <f t="shared" ref="I29" si="63">SUM(I30:I38)</f>
        <v>0</v>
      </c>
      <c r="J29" s="184">
        <f t="shared" ref="J29:AI29" si="64">SUM(J30:J38)</f>
        <v>661557</v>
      </c>
      <c r="K29" s="184">
        <f t="shared" si="64"/>
        <v>0</v>
      </c>
      <c r="L29" s="184">
        <f t="shared" si="64"/>
        <v>0</v>
      </c>
      <c r="M29" s="184">
        <f t="shared" si="64"/>
        <v>0</v>
      </c>
      <c r="N29" s="184">
        <f t="shared" si="64"/>
        <v>0</v>
      </c>
      <c r="O29" s="195">
        <f t="shared" si="64"/>
        <v>0</v>
      </c>
      <c r="P29" s="184">
        <f t="shared" si="64"/>
        <v>0</v>
      </c>
      <c r="Q29" s="184">
        <f t="shared" si="64"/>
        <v>0</v>
      </c>
      <c r="R29" s="184">
        <f t="shared" si="64"/>
        <v>0</v>
      </c>
      <c r="S29" s="184">
        <f t="shared" si="64"/>
        <v>0</v>
      </c>
      <c r="T29" s="195">
        <f t="shared" si="64"/>
        <v>0</v>
      </c>
      <c r="U29" s="184">
        <f t="shared" si="64"/>
        <v>0</v>
      </c>
      <c r="V29" s="184">
        <f t="shared" si="64"/>
        <v>0</v>
      </c>
      <c r="W29" s="184">
        <f t="shared" si="64"/>
        <v>0</v>
      </c>
      <c r="X29" s="184">
        <f t="shared" si="64"/>
        <v>0</v>
      </c>
      <c r="Y29" s="195">
        <f t="shared" si="64"/>
        <v>0</v>
      </c>
      <c r="Z29" s="184">
        <f t="shared" si="64"/>
        <v>0</v>
      </c>
      <c r="AA29" s="184">
        <f t="shared" si="64"/>
        <v>0</v>
      </c>
      <c r="AB29" s="184">
        <f t="shared" si="64"/>
        <v>0</v>
      </c>
      <c r="AC29" s="184">
        <f t="shared" si="64"/>
        <v>0</v>
      </c>
      <c r="AD29" s="195">
        <f t="shared" si="64"/>
        <v>0</v>
      </c>
      <c r="AE29" s="184">
        <f t="shared" si="64"/>
        <v>0</v>
      </c>
      <c r="AF29" s="184">
        <f t="shared" si="64"/>
        <v>0</v>
      </c>
      <c r="AG29" s="184">
        <f t="shared" si="64"/>
        <v>0</v>
      </c>
      <c r="AH29" s="184">
        <f t="shared" si="64"/>
        <v>0</v>
      </c>
      <c r="AI29" s="195">
        <f t="shared" si="64"/>
        <v>0</v>
      </c>
      <c r="AJ29" s="184">
        <f t="shared" ref="AJ29:AN29" si="65">SUM(AJ30:AJ38)</f>
        <v>0</v>
      </c>
      <c r="AK29" s="184">
        <f t="shared" si="65"/>
        <v>0</v>
      </c>
      <c r="AL29" s="184">
        <f t="shared" si="65"/>
        <v>0</v>
      </c>
      <c r="AM29" s="184">
        <f t="shared" si="65"/>
        <v>0</v>
      </c>
      <c r="AN29" s="195">
        <f t="shared" si="65"/>
        <v>0</v>
      </c>
      <c r="AO29" s="184">
        <f t="shared" ref="AO29:AS29" si="66">SUM(AO30:AO38)</f>
        <v>0</v>
      </c>
      <c r="AP29" s="184">
        <f t="shared" si="66"/>
        <v>0</v>
      </c>
      <c r="AQ29" s="184">
        <f t="shared" si="66"/>
        <v>0</v>
      </c>
      <c r="AR29" s="184">
        <f t="shared" si="66"/>
        <v>0</v>
      </c>
      <c r="AS29" s="195">
        <f t="shared" si="66"/>
        <v>0</v>
      </c>
    </row>
    <row r="30" spans="2:45" ht="14" customHeight="1" x14ac:dyDescent="0.2">
      <c r="B30" s="53" t="s">
        <v>63</v>
      </c>
      <c r="C30" s="54" t="s">
        <v>64</v>
      </c>
      <c r="D30" s="55">
        <v>3</v>
      </c>
      <c r="E30" s="55" t="s">
        <v>65</v>
      </c>
      <c r="F30" s="126">
        <v>125384.29999999999</v>
      </c>
      <c r="G30" s="124">
        <f t="shared" ref="G30:G40" si="67">+D30*F30</f>
        <v>376152.89999999997</v>
      </c>
      <c r="I30" s="187">
        <f t="shared" ref="I30:I38" si="68">O30+T30+Y30+AD30+AI30+AN30</f>
        <v>0</v>
      </c>
      <c r="J30" s="187">
        <v>150000</v>
      </c>
      <c r="K30" s="187"/>
      <c r="L30" s="187"/>
      <c r="M30" s="187"/>
      <c r="N30" s="187"/>
      <c r="O30" s="337">
        <f t="shared" ref="O30:O38" si="69">SUM(K30:N30)</f>
        <v>0</v>
      </c>
      <c r="P30" s="187"/>
      <c r="Q30" s="187"/>
      <c r="R30" s="187"/>
      <c r="S30" s="187"/>
      <c r="T30" s="337">
        <f t="shared" ref="T30:T38" si="70">SUM(P30:S30)</f>
        <v>0</v>
      </c>
      <c r="U30" s="187"/>
      <c r="V30" s="187"/>
      <c r="W30" s="187"/>
      <c r="X30" s="187"/>
      <c r="Y30" s="337">
        <f t="shared" ref="Y30:Y38" si="71">SUM(U30:X30)</f>
        <v>0</v>
      </c>
      <c r="Z30" s="187"/>
      <c r="AA30" s="187"/>
      <c r="AB30" s="187"/>
      <c r="AC30" s="187"/>
      <c r="AD30" s="337">
        <f t="shared" ref="AD30:AD38" si="72">SUM(Z30:AC30)</f>
        <v>0</v>
      </c>
      <c r="AE30" s="187"/>
      <c r="AF30" s="187"/>
      <c r="AG30" s="187"/>
      <c r="AH30" s="187"/>
      <c r="AI30" s="337">
        <f t="shared" ref="AI30:AI38" si="73">SUM(AE30:AH30)</f>
        <v>0</v>
      </c>
      <c r="AJ30" s="187"/>
      <c r="AK30" s="187"/>
      <c r="AL30" s="187"/>
      <c r="AM30" s="187"/>
      <c r="AN30" s="337">
        <f t="shared" ref="AN30:AN38" si="74">SUM(AJ30:AM30)</f>
        <v>0</v>
      </c>
      <c r="AO30" s="187"/>
      <c r="AP30" s="187"/>
      <c r="AQ30" s="187"/>
      <c r="AR30" s="187"/>
      <c r="AS30" s="337">
        <f t="shared" ref="AS30:AS38" si="75">SUM(AO30:AR30)</f>
        <v>0</v>
      </c>
    </row>
    <row r="31" spans="2:45" ht="14" customHeight="1" x14ac:dyDescent="0.2">
      <c r="B31" s="53" t="s">
        <v>66</v>
      </c>
      <c r="C31" s="48" t="s">
        <v>67</v>
      </c>
      <c r="D31" s="49">
        <v>1</v>
      </c>
      <c r="E31" s="49" t="s">
        <v>65</v>
      </c>
      <c r="F31" s="124">
        <v>17867</v>
      </c>
      <c r="G31" s="124">
        <f t="shared" si="67"/>
        <v>17867</v>
      </c>
      <c r="I31" s="187">
        <f t="shared" si="68"/>
        <v>0</v>
      </c>
      <c r="J31" s="187">
        <v>17850</v>
      </c>
      <c r="K31" s="187"/>
      <c r="L31" s="187"/>
      <c r="M31" s="187"/>
      <c r="N31" s="187"/>
      <c r="O31" s="337">
        <f t="shared" si="69"/>
        <v>0</v>
      </c>
      <c r="P31" s="187"/>
      <c r="Q31" s="187"/>
      <c r="R31" s="187"/>
      <c r="S31" s="187"/>
      <c r="T31" s="337">
        <f t="shared" si="70"/>
        <v>0</v>
      </c>
      <c r="U31" s="187"/>
      <c r="V31" s="187"/>
      <c r="W31" s="187"/>
      <c r="X31" s="187"/>
      <c r="Y31" s="337">
        <f t="shared" si="71"/>
        <v>0</v>
      </c>
      <c r="Z31" s="187"/>
      <c r="AA31" s="187"/>
      <c r="AB31" s="187"/>
      <c r="AC31" s="187"/>
      <c r="AD31" s="337">
        <f t="shared" si="72"/>
        <v>0</v>
      </c>
      <c r="AE31" s="187"/>
      <c r="AF31" s="187"/>
      <c r="AG31" s="187"/>
      <c r="AH31" s="187"/>
      <c r="AI31" s="337">
        <f t="shared" si="73"/>
        <v>0</v>
      </c>
      <c r="AJ31" s="187"/>
      <c r="AK31" s="187"/>
      <c r="AL31" s="187"/>
      <c r="AM31" s="187"/>
      <c r="AN31" s="337">
        <f t="shared" si="74"/>
        <v>0</v>
      </c>
      <c r="AO31" s="187"/>
      <c r="AP31" s="187"/>
      <c r="AQ31" s="187"/>
      <c r="AR31" s="187"/>
      <c r="AS31" s="337">
        <f t="shared" si="75"/>
        <v>0</v>
      </c>
    </row>
    <row r="32" spans="2:45" ht="14" customHeight="1" x14ac:dyDescent="0.2">
      <c r="B32" s="53" t="s">
        <v>68</v>
      </c>
      <c r="C32" s="48" t="s">
        <v>69</v>
      </c>
      <c r="D32" s="49">
        <v>3</v>
      </c>
      <c r="E32" s="49" t="s">
        <v>65</v>
      </c>
      <c r="F32" s="124">
        <v>2627.5</v>
      </c>
      <c r="G32" s="124">
        <f t="shared" si="67"/>
        <v>7882.5</v>
      </c>
      <c r="I32" s="187">
        <f t="shared" si="68"/>
        <v>0</v>
      </c>
      <c r="J32" s="187">
        <v>4341</v>
      </c>
      <c r="K32" s="187"/>
      <c r="L32" s="187"/>
      <c r="M32" s="187"/>
      <c r="N32" s="187"/>
      <c r="O32" s="337">
        <f t="shared" si="69"/>
        <v>0</v>
      </c>
      <c r="P32" s="187"/>
      <c r="Q32" s="187"/>
      <c r="R32" s="187"/>
      <c r="S32" s="187"/>
      <c r="T32" s="337">
        <f t="shared" si="70"/>
        <v>0</v>
      </c>
      <c r="U32" s="187"/>
      <c r="V32" s="187"/>
      <c r="W32" s="187"/>
      <c r="X32" s="187"/>
      <c r="Y32" s="337">
        <f t="shared" si="71"/>
        <v>0</v>
      </c>
      <c r="Z32" s="187"/>
      <c r="AA32" s="187"/>
      <c r="AB32" s="187"/>
      <c r="AC32" s="187"/>
      <c r="AD32" s="337">
        <f t="shared" si="72"/>
        <v>0</v>
      </c>
      <c r="AE32" s="187"/>
      <c r="AF32" s="187"/>
      <c r="AG32" s="187"/>
      <c r="AH32" s="187"/>
      <c r="AI32" s="337">
        <f t="shared" si="73"/>
        <v>0</v>
      </c>
      <c r="AJ32" s="187"/>
      <c r="AK32" s="187"/>
      <c r="AL32" s="187"/>
      <c r="AM32" s="187"/>
      <c r="AN32" s="337">
        <f t="shared" si="74"/>
        <v>0</v>
      </c>
      <c r="AO32" s="187"/>
      <c r="AP32" s="187"/>
      <c r="AQ32" s="187"/>
      <c r="AR32" s="187"/>
      <c r="AS32" s="337">
        <f t="shared" si="75"/>
        <v>0</v>
      </c>
    </row>
    <row r="33" spans="2:45" ht="14" customHeight="1" x14ac:dyDescent="0.2">
      <c r="B33" s="53" t="s">
        <v>70</v>
      </c>
      <c r="C33" s="48" t="s">
        <v>71</v>
      </c>
      <c r="D33" s="49">
        <v>3</v>
      </c>
      <c r="E33" s="49" t="s">
        <v>65</v>
      </c>
      <c r="F33" s="124">
        <v>5780.5</v>
      </c>
      <c r="G33" s="124">
        <f t="shared" si="67"/>
        <v>17341.5</v>
      </c>
      <c r="I33" s="187">
        <f t="shared" si="68"/>
        <v>0</v>
      </c>
      <c r="J33" s="187">
        <v>23324</v>
      </c>
      <c r="K33" s="187"/>
      <c r="L33" s="187"/>
      <c r="M33" s="187"/>
      <c r="N33" s="187"/>
      <c r="O33" s="337">
        <f t="shared" si="69"/>
        <v>0</v>
      </c>
      <c r="P33" s="187"/>
      <c r="Q33" s="187"/>
      <c r="R33" s="187"/>
      <c r="S33" s="187"/>
      <c r="T33" s="337">
        <f t="shared" si="70"/>
        <v>0</v>
      </c>
      <c r="U33" s="187"/>
      <c r="V33" s="187"/>
      <c r="W33" s="187"/>
      <c r="X33" s="187"/>
      <c r="Y33" s="337">
        <f t="shared" si="71"/>
        <v>0</v>
      </c>
      <c r="Z33" s="187"/>
      <c r="AA33" s="187"/>
      <c r="AB33" s="187"/>
      <c r="AC33" s="187"/>
      <c r="AD33" s="337">
        <f t="shared" si="72"/>
        <v>0</v>
      </c>
      <c r="AE33" s="187"/>
      <c r="AF33" s="187"/>
      <c r="AG33" s="187"/>
      <c r="AH33" s="187"/>
      <c r="AI33" s="337">
        <f t="shared" si="73"/>
        <v>0</v>
      </c>
      <c r="AJ33" s="187"/>
      <c r="AK33" s="187"/>
      <c r="AL33" s="187"/>
      <c r="AM33" s="187"/>
      <c r="AN33" s="337">
        <f t="shared" si="74"/>
        <v>0</v>
      </c>
      <c r="AO33" s="187"/>
      <c r="AP33" s="187"/>
      <c r="AQ33" s="187"/>
      <c r="AR33" s="187"/>
      <c r="AS33" s="337">
        <f t="shared" si="75"/>
        <v>0</v>
      </c>
    </row>
    <row r="34" spans="2:45" ht="14" customHeight="1" x14ac:dyDescent="0.2">
      <c r="B34" s="53" t="s">
        <v>72</v>
      </c>
      <c r="C34" s="48" t="s">
        <v>73</v>
      </c>
      <c r="D34" s="49">
        <v>1</v>
      </c>
      <c r="E34" s="49" t="s">
        <v>65</v>
      </c>
      <c r="F34" s="124">
        <v>72519</v>
      </c>
      <c r="G34" s="124">
        <f t="shared" si="67"/>
        <v>72519</v>
      </c>
      <c r="I34" s="187">
        <f t="shared" si="68"/>
        <v>0</v>
      </c>
      <c r="J34" s="187">
        <v>66640</v>
      </c>
      <c r="K34" s="187"/>
      <c r="L34" s="187"/>
      <c r="M34" s="187"/>
      <c r="N34" s="187"/>
      <c r="O34" s="337">
        <f t="shared" si="69"/>
        <v>0</v>
      </c>
      <c r="P34" s="187"/>
      <c r="Q34" s="187"/>
      <c r="R34" s="187"/>
      <c r="S34" s="187"/>
      <c r="T34" s="337">
        <f t="shared" si="70"/>
        <v>0</v>
      </c>
      <c r="U34" s="187"/>
      <c r="V34" s="187"/>
      <c r="W34" s="187"/>
      <c r="X34" s="187"/>
      <c r="Y34" s="337">
        <f t="shared" si="71"/>
        <v>0</v>
      </c>
      <c r="Z34" s="187"/>
      <c r="AA34" s="187"/>
      <c r="AB34" s="187"/>
      <c r="AC34" s="187"/>
      <c r="AD34" s="337">
        <f t="shared" si="72"/>
        <v>0</v>
      </c>
      <c r="AE34" s="187"/>
      <c r="AF34" s="187"/>
      <c r="AG34" s="187"/>
      <c r="AH34" s="187"/>
      <c r="AI34" s="337">
        <f t="shared" si="73"/>
        <v>0</v>
      </c>
      <c r="AJ34" s="187"/>
      <c r="AK34" s="187"/>
      <c r="AL34" s="187"/>
      <c r="AM34" s="187"/>
      <c r="AN34" s="337">
        <f t="shared" si="74"/>
        <v>0</v>
      </c>
      <c r="AO34" s="187"/>
      <c r="AP34" s="187"/>
      <c r="AQ34" s="187"/>
      <c r="AR34" s="187"/>
      <c r="AS34" s="337">
        <f t="shared" si="75"/>
        <v>0</v>
      </c>
    </row>
    <row r="35" spans="2:45" ht="14" customHeight="1" x14ac:dyDescent="0.2">
      <c r="B35" s="53" t="s">
        <v>74</v>
      </c>
      <c r="C35" s="48" t="s">
        <v>75</v>
      </c>
      <c r="D35" s="49">
        <v>1</v>
      </c>
      <c r="E35" s="49" t="s">
        <v>65</v>
      </c>
      <c r="F35" s="124">
        <v>118762.99999999999</v>
      </c>
      <c r="G35" s="124">
        <f t="shared" si="67"/>
        <v>118762.99999999999</v>
      </c>
      <c r="I35" s="187">
        <f t="shared" si="68"/>
        <v>0</v>
      </c>
      <c r="J35" s="187">
        <v>116739</v>
      </c>
      <c r="K35" s="187"/>
      <c r="L35" s="187"/>
      <c r="M35" s="187"/>
      <c r="N35" s="187"/>
      <c r="O35" s="337">
        <f t="shared" si="69"/>
        <v>0</v>
      </c>
      <c r="P35" s="187"/>
      <c r="Q35" s="187"/>
      <c r="R35" s="187"/>
      <c r="S35" s="187"/>
      <c r="T35" s="337">
        <f t="shared" si="70"/>
        <v>0</v>
      </c>
      <c r="U35" s="187"/>
      <c r="V35" s="187"/>
      <c r="W35" s="187"/>
      <c r="X35" s="187"/>
      <c r="Y35" s="337">
        <f t="shared" si="71"/>
        <v>0</v>
      </c>
      <c r="Z35" s="187"/>
      <c r="AA35" s="187"/>
      <c r="AB35" s="187"/>
      <c r="AC35" s="187"/>
      <c r="AD35" s="337">
        <f t="shared" si="72"/>
        <v>0</v>
      </c>
      <c r="AE35" s="187"/>
      <c r="AF35" s="187"/>
      <c r="AG35" s="187"/>
      <c r="AH35" s="187"/>
      <c r="AI35" s="337">
        <f t="shared" si="73"/>
        <v>0</v>
      </c>
      <c r="AJ35" s="187"/>
      <c r="AK35" s="187"/>
      <c r="AL35" s="187"/>
      <c r="AM35" s="187"/>
      <c r="AN35" s="337">
        <f t="shared" si="74"/>
        <v>0</v>
      </c>
      <c r="AO35" s="187"/>
      <c r="AP35" s="187"/>
      <c r="AQ35" s="187"/>
      <c r="AR35" s="187"/>
      <c r="AS35" s="337">
        <f t="shared" si="75"/>
        <v>0</v>
      </c>
    </row>
    <row r="36" spans="2:45" ht="14" customHeight="1" x14ac:dyDescent="0.2">
      <c r="B36" s="53" t="s">
        <v>76</v>
      </c>
      <c r="C36" s="48" t="s">
        <v>77</v>
      </c>
      <c r="D36" s="49">
        <v>3</v>
      </c>
      <c r="E36" s="49" t="s">
        <v>65</v>
      </c>
      <c r="F36" s="124">
        <v>3678.4999999999995</v>
      </c>
      <c r="G36" s="124">
        <f t="shared" si="67"/>
        <v>11035.499999999998</v>
      </c>
      <c r="I36" s="187">
        <f t="shared" si="68"/>
        <v>0</v>
      </c>
      <c r="J36" s="187">
        <v>14756</v>
      </c>
      <c r="K36" s="187"/>
      <c r="L36" s="187"/>
      <c r="M36" s="187"/>
      <c r="N36" s="187"/>
      <c r="O36" s="337">
        <f t="shared" si="69"/>
        <v>0</v>
      </c>
      <c r="P36" s="187"/>
      <c r="Q36" s="187"/>
      <c r="R36" s="187"/>
      <c r="S36" s="187"/>
      <c r="T36" s="337">
        <f t="shared" si="70"/>
        <v>0</v>
      </c>
      <c r="U36" s="187"/>
      <c r="V36" s="187"/>
      <c r="W36" s="187"/>
      <c r="X36" s="187"/>
      <c r="Y36" s="337">
        <f t="shared" si="71"/>
        <v>0</v>
      </c>
      <c r="Z36" s="187"/>
      <c r="AA36" s="187"/>
      <c r="AB36" s="187"/>
      <c r="AC36" s="187"/>
      <c r="AD36" s="337">
        <f t="shared" si="72"/>
        <v>0</v>
      </c>
      <c r="AE36" s="187"/>
      <c r="AF36" s="187"/>
      <c r="AG36" s="187"/>
      <c r="AH36" s="187"/>
      <c r="AI36" s="337">
        <f t="shared" si="73"/>
        <v>0</v>
      </c>
      <c r="AJ36" s="187"/>
      <c r="AK36" s="187"/>
      <c r="AL36" s="187"/>
      <c r="AM36" s="187"/>
      <c r="AN36" s="337">
        <f t="shared" si="74"/>
        <v>0</v>
      </c>
      <c r="AO36" s="187"/>
      <c r="AP36" s="187"/>
      <c r="AQ36" s="187"/>
      <c r="AR36" s="187"/>
      <c r="AS36" s="337">
        <f t="shared" si="75"/>
        <v>0</v>
      </c>
    </row>
    <row r="37" spans="2:45" ht="14" customHeight="1" x14ac:dyDescent="0.2">
      <c r="B37" s="53" t="s">
        <v>78</v>
      </c>
      <c r="C37" s="48" t="s">
        <v>79</v>
      </c>
      <c r="D37" s="49">
        <v>1</v>
      </c>
      <c r="E37" s="49" t="s">
        <v>65</v>
      </c>
      <c r="F37" s="124">
        <v>78825</v>
      </c>
      <c r="G37" s="124">
        <f t="shared" si="67"/>
        <v>78825</v>
      </c>
      <c r="I37" s="187">
        <f t="shared" si="68"/>
        <v>0</v>
      </c>
      <c r="J37" s="187">
        <v>81037</v>
      </c>
      <c r="K37" s="187"/>
      <c r="L37" s="187"/>
      <c r="M37" s="187"/>
      <c r="N37" s="187"/>
      <c r="O37" s="337">
        <f t="shared" si="69"/>
        <v>0</v>
      </c>
      <c r="P37" s="187"/>
      <c r="Q37" s="187"/>
      <c r="R37" s="187"/>
      <c r="S37" s="187"/>
      <c r="T37" s="337">
        <f t="shared" si="70"/>
        <v>0</v>
      </c>
      <c r="U37" s="187"/>
      <c r="V37" s="187"/>
      <c r="W37" s="187"/>
      <c r="X37" s="187"/>
      <c r="Y37" s="337">
        <f t="shared" si="71"/>
        <v>0</v>
      </c>
      <c r="Z37" s="187"/>
      <c r="AA37" s="187"/>
      <c r="AB37" s="187"/>
      <c r="AC37" s="187"/>
      <c r="AD37" s="337">
        <f t="shared" si="72"/>
        <v>0</v>
      </c>
      <c r="AE37" s="187"/>
      <c r="AF37" s="187"/>
      <c r="AG37" s="187"/>
      <c r="AH37" s="187"/>
      <c r="AI37" s="337">
        <f t="shared" si="73"/>
        <v>0</v>
      </c>
      <c r="AJ37" s="187"/>
      <c r="AK37" s="187"/>
      <c r="AL37" s="187"/>
      <c r="AM37" s="187"/>
      <c r="AN37" s="337">
        <f t="shared" si="74"/>
        <v>0</v>
      </c>
      <c r="AO37" s="187"/>
      <c r="AP37" s="187"/>
      <c r="AQ37" s="187"/>
      <c r="AR37" s="187"/>
      <c r="AS37" s="337">
        <f t="shared" si="75"/>
        <v>0</v>
      </c>
    </row>
    <row r="38" spans="2:45" ht="14" customHeight="1" x14ac:dyDescent="0.2">
      <c r="B38" s="53" t="s">
        <v>80</v>
      </c>
      <c r="C38" s="48" t="s">
        <v>81</v>
      </c>
      <c r="D38" s="49">
        <v>1</v>
      </c>
      <c r="E38" s="49" t="s">
        <v>65</v>
      </c>
      <c r="F38" s="124">
        <v>50448</v>
      </c>
      <c r="G38" s="124">
        <f t="shared" si="67"/>
        <v>50448</v>
      </c>
      <c r="I38" s="187">
        <f t="shared" si="68"/>
        <v>0</v>
      </c>
      <c r="J38" s="187">
        <v>186870</v>
      </c>
      <c r="K38" s="187"/>
      <c r="L38" s="187"/>
      <c r="M38" s="187"/>
      <c r="N38" s="187"/>
      <c r="O38" s="337">
        <f t="shared" si="69"/>
        <v>0</v>
      </c>
      <c r="P38" s="187"/>
      <c r="Q38" s="187"/>
      <c r="R38" s="187"/>
      <c r="S38" s="187"/>
      <c r="T38" s="337">
        <f t="shared" si="70"/>
        <v>0</v>
      </c>
      <c r="U38" s="187"/>
      <c r="V38" s="187"/>
      <c r="W38" s="187"/>
      <c r="X38" s="187"/>
      <c r="Y38" s="337">
        <f t="shared" si="71"/>
        <v>0</v>
      </c>
      <c r="Z38" s="187"/>
      <c r="AA38" s="187"/>
      <c r="AB38" s="187"/>
      <c r="AC38" s="187"/>
      <c r="AD38" s="337">
        <f t="shared" si="72"/>
        <v>0</v>
      </c>
      <c r="AE38" s="187"/>
      <c r="AF38" s="187"/>
      <c r="AG38" s="187"/>
      <c r="AH38" s="187"/>
      <c r="AI38" s="337">
        <f t="shared" si="73"/>
        <v>0</v>
      </c>
      <c r="AJ38" s="187"/>
      <c r="AK38" s="187"/>
      <c r="AL38" s="187"/>
      <c r="AM38" s="187"/>
      <c r="AN38" s="337">
        <f t="shared" si="74"/>
        <v>0</v>
      </c>
      <c r="AO38" s="187"/>
      <c r="AP38" s="187"/>
      <c r="AQ38" s="187"/>
      <c r="AR38" s="187"/>
      <c r="AS38" s="337">
        <f t="shared" si="75"/>
        <v>0</v>
      </c>
    </row>
    <row r="39" spans="2:45" ht="14" customHeight="1" x14ac:dyDescent="0.2">
      <c r="B39" s="44" t="s">
        <v>82</v>
      </c>
      <c r="C39" s="45" t="s">
        <v>83</v>
      </c>
      <c r="D39" s="46">
        <f>SUM(D40)</f>
        <v>1</v>
      </c>
      <c r="E39" s="46">
        <f t="shared" ref="E39:AS39" si="76">SUM(E40)</f>
        <v>0</v>
      </c>
      <c r="F39" s="123">
        <f t="shared" si="76"/>
        <v>58546503</v>
      </c>
      <c r="G39" s="123">
        <f t="shared" si="76"/>
        <v>58546503</v>
      </c>
      <c r="I39" s="184">
        <f t="shared" ref="I39" si="77">SUM(I40)</f>
        <v>58546503</v>
      </c>
      <c r="J39" s="184">
        <f t="shared" si="76"/>
        <v>58546503</v>
      </c>
      <c r="K39" s="184">
        <f t="shared" si="76"/>
        <v>0</v>
      </c>
      <c r="L39" s="184">
        <f t="shared" si="76"/>
        <v>0</v>
      </c>
      <c r="M39" s="184">
        <f t="shared" si="76"/>
        <v>58546503</v>
      </c>
      <c r="N39" s="184">
        <f t="shared" si="76"/>
        <v>0</v>
      </c>
      <c r="O39" s="195">
        <f t="shared" si="76"/>
        <v>58546503</v>
      </c>
      <c r="P39" s="184">
        <f t="shared" si="76"/>
        <v>0</v>
      </c>
      <c r="Q39" s="184">
        <f t="shared" si="76"/>
        <v>0</v>
      </c>
      <c r="R39" s="184">
        <f t="shared" si="76"/>
        <v>0</v>
      </c>
      <c r="S39" s="184">
        <f t="shared" si="76"/>
        <v>0</v>
      </c>
      <c r="T39" s="195">
        <f t="shared" si="76"/>
        <v>0</v>
      </c>
      <c r="U39" s="184">
        <f t="shared" si="76"/>
        <v>0</v>
      </c>
      <c r="V39" s="184">
        <f t="shared" si="76"/>
        <v>0</v>
      </c>
      <c r="W39" s="184">
        <f t="shared" si="76"/>
        <v>0</v>
      </c>
      <c r="X39" s="184">
        <f t="shared" si="76"/>
        <v>0</v>
      </c>
      <c r="Y39" s="195">
        <f t="shared" si="76"/>
        <v>0</v>
      </c>
      <c r="Z39" s="184">
        <f t="shared" si="76"/>
        <v>0</v>
      </c>
      <c r="AA39" s="184">
        <f t="shared" si="76"/>
        <v>0</v>
      </c>
      <c r="AB39" s="184">
        <f t="shared" si="76"/>
        <v>0</v>
      </c>
      <c r="AC39" s="184">
        <f t="shared" si="76"/>
        <v>0</v>
      </c>
      <c r="AD39" s="195">
        <f t="shared" si="76"/>
        <v>0</v>
      </c>
      <c r="AE39" s="184">
        <f t="shared" si="76"/>
        <v>0</v>
      </c>
      <c r="AF39" s="184">
        <f t="shared" si="76"/>
        <v>0</v>
      </c>
      <c r="AG39" s="184">
        <f t="shared" si="76"/>
        <v>0</v>
      </c>
      <c r="AH39" s="184">
        <f t="shared" si="76"/>
        <v>0</v>
      </c>
      <c r="AI39" s="195">
        <f t="shared" si="76"/>
        <v>0</v>
      </c>
      <c r="AJ39" s="184">
        <f t="shared" si="76"/>
        <v>0</v>
      </c>
      <c r="AK39" s="184">
        <f t="shared" si="76"/>
        <v>0</v>
      </c>
      <c r="AL39" s="184">
        <f t="shared" si="76"/>
        <v>0</v>
      </c>
      <c r="AM39" s="184">
        <f t="shared" si="76"/>
        <v>0</v>
      </c>
      <c r="AN39" s="195">
        <f t="shared" si="76"/>
        <v>0</v>
      </c>
      <c r="AO39" s="184">
        <f t="shared" si="76"/>
        <v>0</v>
      </c>
      <c r="AP39" s="184">
        <f t="shared" si="76"/>
        <v>0</v>
      </c>
      <c r="AQ39" s="184">
        <f t="shared" si="76"/>
        <v>0</v>
      </c>
      <c r="AR39" s="184">
        <f t="shared" si="76"/>
        <v>0</v>
      </c>
      <c r="AS39" s="195">
        <f t="shared" si="76"/>
        <v>0</v>
      </c>
    </row>
    <row r="40" spans="2:45" ht="14" customHeight="1" x14ac:dyDescent="0.2">
      <c r="B40" s="47" t="s">
        <v>84</v>
      </c>
      <c r="C40" s="48" t="s">
        <v>85</v>
      </c>
      <c r="D40" s="49">
        <v>1</v>
      </c>
      <c r="E40" s="49" t="s">
        <v>37</v>
      </c>
      <c r="F40" s="124">
        <v>58546503</v>
      </c>
      <c r="G40" s="124">
        <f t="shared" si="67"/>
        <v>58546503</v>
      </c>
      <c r="I40" s="187">
        <f>O40+T40+Y40+AD40+AI40+AN40</f>
        <v>58546503</v>
      </c>
      <c r="J40" s="187">
        <v>58546503</v>
      </c>
      <c r="K40" s="187"/>
      <c r="L40" s="187"/>
      <c r="M40" s="187">
        <v>58546503</v>
      </c>
      <c r="N40" s="187"/>
      <c r="O40" s="337">
        <f>SUM(K40:N40)</f>
        <v>58546503</v>
      </c>
      <c r="P40" s="187"/>
      <c r="Q40" s="187"/>
      <c r="R40" s="187"/>
      <c r="S40" s="187"/>
      <c r="T40" s="337">
        <f>SUM(P40:S40)</f>
        <v>0</v>
      </c>
      <c r="U40" s="187"/>
      <c r="V40" s="187"/>
      <c r="W40" s="187"/>
      <c r="X40" s="187"/>
      <c r="Y40" s="337">
        <f>SUM(U40:X40)</f>
        <v>0</v>
      </c>
      <c r="Z40" s="187"/>
      <c r="AA40" s="187"/>
      <c r="AB40" s="187"/>
      <c r="AC40" s="187"/>
      <c r="AD40" s="337">
        <f>SUM(Z40:AC40)</f>
        <v>0</v>
      </c>
      <c r="AE40" s="187"/>
      <c r="AF40" s="187"/>
      <c r="AG40" s="187"/>
      <c r="AH40" s="187"/>
      <c r="AI40" s="337">
        <f>SUM(AE40:AH40)</f>
        <v>0</v>
      </c>
      <c r="AJ40" s="187"/>
      <c r="AK40" s="187"/>
      <c r="AL40" s="187"/>
      <c r="AM40" s="187"/>
      <c r="AN40" s="337">
        <f>SUM(AJ40:AM40)</f>
        <v>0</v>
      </c>
      <c r="AO40" s="187"/>
      <c r="AP40" s="187"/>
      <c r="AQ40" s="187"/>
      <c r="AR40" s="187"/>
      <c r="AS40" s="337">
        <f>SUM(AO40:AR40)</f>
        <v>0</v>
      </c>
    </row>
    <row r="41" spans="2:45" ht="14" customHeight="1" x14ac:dyDescent="0.2">
      <c r="B41" s="41">
        <v>3</v>
      </c>
      <c r="C41" s="56" t="s">
        <v>86</v>
      </c>
      <c r="D41" s="57"/>
      <c r="E41" s="57"/>
      <c r="F41" s="122"/>
      <c r="G41" s="122">
        <f>G42</f>
        <v>0</v>
      </c>
      <c r="I41" s="180">
        <f t="shared" ref="I41" si="78">I42</f>
        <v>12633905</v>
      </c>
      <c r="J41" s="180">
        <f t="shared" ref="J41:AS41" si="79">J42</f>
        <v>4200000</v>
      </c>
      <c r="K41" s="180">
        <f t="shared" si="79"/>
        <v>0</v>
      </c>
      <c r="L41" s="180">
        <f t="shared" si="79"/>
        <v>0</v>
      </c>
      <c r="M41" s="180">
        <f t="shared" si="79"/>
        <v>0</v>
      </c>
      <c r="N41" s="180">
        <f t="shared" si="79"/>
        <v>0</v>
      </c>
      <c r="O41" s="340">
        <f t="shared" si="79"/>
        <v>0</v>
      </c>
      <c r="P41" s="180">
        <f t="shared" si="79"/>
        <v>0</v>
      </c>
      <c r="Q41" s="180">
        <f t="shared" si="79"/>
        <v>1497410</v>
      </c>
      <c r="R41" s="180">
        <f t="shared" si="79"/>
        <v>0</v>
      </c>
      <c r="S41" s="180">
        <f t="shared" si="79"/>
        <v>0</v>
      </c>
      <c r="T41" s="340">
        <f t="shared" si="79"/>
        <v>1497410</v>
      </c>
      <c r="U41" s="180">
        <f t="shared" si="79"/>
        <v>0</v>
      </c>
      <c r="V41" s="180">
        <f t="shared" si="79"/>
        <v>0</v>
      </c>
      <c r="W41" s="180">
        <f t="shared" si="79"/>
        <v>2235000</v>
      </c>
      <c r="X41" s="180">
        <f t="shared" si="79"/>
        <v>0</v>
      </c>
      <c r="Y41" s="340">
        <f t="shared" si="79"/>
        <v>2235000</v>
      </c>
      <c r="Z41" s="180">
        <f t="shared" si="79"/>
        <v>0</v>
      </c>
      <c r="AA41" s="180">
        <f t="shared" si="79"/>
        <v>4508000</v>
      </c>
      <c r="AB41" s="180">
        <f t="shared" si="79"/>
        <v>0</v>
      </c>
      <c r="AC41" s="180">
        <f t="shared" si="79"/>
        <v>0</v>
      </c>
      <c r="AD41" s="340">
        <f t="shared" si="79"/>
        <v>4508000</v>
      </c>
      <c r="AE41" s="180">
        <f t="shared" si="79"/>
        <v>2300000</v>
      </c>
      <c r="AF41" s="180">
        <f t="shared" si="79"/>
        <v>0</v>
      </c>
      <c r="AG41" s="180">
        <f t="shared" si="79"/>
        <v>0</v>
      </c>
      <c r="AH41" s="180">
        <f t="shared" si="79"/>
        <v>0</v>
      </c>
      <c r="AI41" s="340">
        <f t="shared" si="79"/>
        <v>2300000</v>
      </c>
      <c r="AJ41" s="180">
        <f t="shared" si="79"/>
        <v>2093495</v>
      </c>
      <c r="AK41" s="180">
        <f t="shared" si="79"/>
        <v>0</v>
      </c>
      <c r="AL41" s="180">
        <f t="shared" si="79"/>
        <v>0</v>
      </c>
      <c r="AM41" s="180">
        <f t="shared" si="79"/>
        <v>0</v>
      </c>
      <c r="AN41" s="340">
        <f t="shared" si="79"/>
        <v>2093495</v>
      </c>
      <c r="AO41" s="180">
        <f t="shared" si="79"/>
        <v>0</v>
      </c>
      <c r="AP41" s="180">
        <f t="shared" si="79"/>
        <v>0</v>
      </c>
      <c r="AQ41" s="180">
        <f t="shared" si="79"/>
        <v>0</v>
      </c>
      <c r="AR41" s="180">
        <f t="shared" si="79"/>
        <v>0</v>
      </c>
      <c r="AS41" s="340">
        <f t="shared" si="79"/>
        <v>0</v>
      </c>
    </row>
    <row r="42" spans="2:45" ht="14" customHeight="1" x14ac:dyDescent="0.2">
      <c r="B42" s="44" t="s">
        <v>87</v>
      </c>
      <c r="C42" s="45" t="s">
        <v>86</v>
      </c>
      <c r="D42" s="46"/>
      <c r="E42" s="46"/>
      <c r="F42" s="123"/>
      <c r="G42" s="123">
        <f>SUM(G43:G46)</f>
        <v>0</v>
      </c>
      <c r="I42" s="184">
        <f t="shared" ref="I42" si="80">SUM(I43:I46)</f>
        <v>12633905</v>
      </c>
      <c r="J42" s="184">
        <f t="shared" ref="J42:AI42" si="81">SUM(J43:J46)</f>
        <v>4200000</v>
      </c>
      <c r="K42" s="184">
        <f t="shared" si="81"/>
        <v>0</v>
      </c>
      <c r="L42" s="184">
        <f t="shared" si="81"/>
        <v>0</v>
      </c>
      <c r="M42" s="184">
        <f t="shared" si="81"/>
        <v>0</v>
      </c>
      <c r="N42" s="184">
        <f t="shared" si="81"/>
        <v>0</v>
      </c>
      <c r="O42" s="195">
        <f t="shared" si="81"/>
        <v>0</v>
      </c>
      <c r="P42" s="184">
        <f t="shared" si="81"/>
        <v>0</v>
      </c>
      <c r="Q42" s="184">
        <f t="shared" si="81"/>
        <v>1497410</v>
      </c>
      <c r="R42" s="184">
        <f t="shared" si="81"/>
        <v>0</v>
      </c>
      <c r="S42" s="184">
        <f t="shared" si="81"/>
        <v>0</v>
      </c>
      <c r="T42" s="195">
        <f t="shared" si="81"/>
        <v>1497410</v>
      </c>
      <c r="U42" s="184">
        <f t="shared" si="81"/>
        <v>0</v>
      </c>
      <c r="V42" s="184">
        <f t="shared" si="81"/>
        <v>0</v>
      </c>
      <c r="W42" s="184">
        <f t="shared" si="81"/>
        <v>2235000</v>
      </c>
      <c r="X42" s="184">
        <f t="shared" si="81"/>
        <v>0</v>
      </c>
      <c r="Y42" s="195">
        <f t="shared" si="81"/>
        <v>2235000</v>
      </c>
      <c r="Z42" s="184">
        <f t="shared" si="81"/>
        <v>0</v>
      </c>
      <c r="AA42" s="184">
        <f t="shared" si="81"/>
        <v>4508000</v>
      </c>
      <c r="AB42" s="184">
        <f t="shared" si="81"/>
        <v>0</v>
      </c>
      <c r="AC42" s="184">
        <f t="shared" si="81"/>
        <v>0</v>
      </c>
      <c r="AD42" s="195">
        <f t="shared" si="81"/>
        <v>4508000</v>
      </c>
      <c r="AE42" s="184">
        <f t="shared" si="81"/>
        <v>2300000</v>
      </c>
      <c r="AF42" s="184">
        <f t="shared" si="81"/>
        <v>0</v>
      </c>
      <c r="AG42" s="184">
        <f t="shared" si="81"/>
        <v>0</v>
      </c>
      <c r="AH42" s="184">
        <f t="shared" si="81"/>
        <v>0</v>
      </c>
      <c r="AI42" s="195">
        <f t="shared" si="81"/>
        <v>2300000</v>
      </c>
      <c r="AJ42" s="184">
        <f t="shared" ref="AJ42:AN42" si="82">SUM(AJ43:AJ46)</f>
        <v>2093495</v>
      </c>
      <c r="AK42" s="184">
        <f t="shared" si="82"/>
        <v>0</v>
      </c>
      <c r="AL42" s="184">
        <f t="shared" si="82"/>
        <v>0</v>
      </c>
      <c r="AM42" s="184">
        <f t="shared" si="82"/>
        <v>0</v>
      </c>
      <c r="AN42" s="195">
        <f t="shared" si="82"/>
        <v>2093495</v>
      </c>
      <c r="AO42" s="184">
        <f t="shared" ref="AO42:AS42" si="83">SUM(AO43:AO46)</f>
        <v>0</v>
      </c>
      <c r="AP42" s="184">
        <f t="shared" si="83"/>
        <v>0</v>
      </c>
      <c r="AQ42" s="184">
        <f t="shared" si="83"/>
        <v>0</v>
      </c>
      <c r="AR42" s="184">
        <f t="shared" si="83"/>
        <v>0</v>
      </c>
      <c r="AS42" s="195">
        <f t="shared" si="83"/>
        <v>0</v>
      </c>
    </row>
    <row r="43" spans="2:45" ht="14" customHeight="1" x14ac:dyDescent="0.2">
      <c r="B43" s="47" t="s">
        <v>88</v>
      </c>
      <c r="C43" s="48" t="s">
        <v>89</v>
      </c>
      <c r="D43" s="49"/>
      <c r="E43" s="49"/>
      <c r="F43" s="124"/>
      <c r="G43" s="124"/>
      <c r="I43" s="187">
        <f t="shared" ref="I43:I46" si="84">O43+T43+Y43+AD43+AI43+AN43</f>
        <v>6341495</v>
      </c>
      <c r="J43" s="187">
        <v>1237600</v>
      </c>
      <c r="K43" s="187"/>
      <c r="L43" s="187"/>
      <c r="M43" s="187"/>
      <c r="N43" s="187"/>
      <c r="O43" s="337">
        <f t="shared" ref="O43:O46" si="85">SUM(K43:N43)</f>
        <v>0</v>
      </c>
      <c r="P43" s="187"/>
      <c r="Q43" s="187">
        <v>500000</v>
      </c>
      <c r="R43" s="187"/>
      <c r="S43" s="187"/>
      <c r="T43" s="337">
        <f t="shared" ref="T43:T46" si="86">SUM(P43:S43)</f>
        <v>500000</v>
      </c>
      <c r="U43" s="187"/>
      <c r="V43" s="187"/>
      <c r="W43" s="187">
        <v>1348000</v>
      </c>
      <c r="X43" s="187"/>
      <c r="Y43" s="337">
        <f t="shared" ref="Y43:Y46" si="87">SUM(U43:X43)</f>
        <v>1348000</v>
      </c>
      <c r="Z43" s="187"/>
      <c r="AA43" s="187">
        <v>2400000</v>
      </c>
      <c r="AB43" s="187"/>
      <c r="AC43" s="187"/>
      <c r="AD43" s="337">
        <f t="shared" ref="AD43:AD46" si="88">SUM(Z43:AC43)</f>
        <v>2400000</v>
      </c>
      <c r="AE43" s="187"/>
      <c r="AF43" s="187"/>
      <c r="AG43" s="187"/>
      <c r="AH43" s="187"/>
      <c r="AI43" s="337">
        <f t="shared" ref="AI43:AI46" si="89">SUM(AE43:AH43)</f>
        <v>0</v>
      </c>
      <c r="AJ43" s="187">
        <v>2093495</v>
      </c>
      <c r="AK43" s="187"/>
      <c r="AL43" s="187"/>
      <c r="AM43" s="187"/>
      <c r="AN43" s="337">
        <f t="shared" ref="AN43:AN46" si="90">SUM(AJ43:AM43)</f>
        <v>2093495</v>
      </c>
      <c r="AO43" s="187"/>
      <c r="AP43" s="187"/>
      <c r="AQ43" s="187"/>
      <c r="AR43" s="187"/>
      <c r="AS43" s="337">
        <f t="shared" ref="AS43:AS46" si="91">SUM(AO43:AR43)</f>
        <v>0</v>
      </c>
    </row>
    <row r="44" spans="2:45" ht="14" customHeight="1" x14ac:dyDescent="0.2">
      <c r="B44" s="47" t="s">
        <v>90</v>
      </c>
      <c r="C44" s="48" t="s">
        <v>91</v>
      </c>
      <c r="D44" s="49"/>
      <c r="E44" s="49"/>
      <c r="F44" s="124"/>
      <c r="G44" s="124"/>
      <c r="I44" s="187">
        <f t="shared" si="84"/>
        <v>821900</v>
      </c>
      <c r="J44" s="187">
        <v>292400</v>
      </c>
      <c r="K44" s="187"/>
      <c r="L44" s="187"/>
      <c r="M44" s="187"/>
      <c r="N44" s="187"/>
      <c r="O44" s="337">
        <f t="shared" si="85"/>
        <v>0</v>
      </c>
      <c r="P44" s="187"/>
      <c r="Q44" s="187">
        <v>147900</v>
      </c>
      <c r="R44" s="187"/>
      <c r="S44" s="187"/>
      <c r="T44" s="337">
        <f t="shared" si="86"/>
        <v>147900</v>
      </c>
      <c r="U44" s="187"/>
      <c r="V44" s="187"/>
      <c r="W44" s="187"/>
      <c r="X44" s="187"/>
      <c r="Y44" s="337">
        <f t="shared" si="87"/>
        <v>0</v>
      </c>
      <c r="Z44" s="187"/>
      <c r="AA44" s="187">
        <v>248000</v>
      </c>
      <c r="AB44" s="187"/>
      <c r="AC44" s="187"/>
      <c r="AD44" s="337">
        <f t="shared" si="88"/>
        <v>248000</v>
      </c>
      <c r="AE44" s="187">
        <v>426000</v>
      </c>
      <c r="AF44" s="187"/>
      <c r="AG44" s="187"/>
      <c r="AH44" s="187"/>
      <c r="AI44" s="337">
        <f t="shared" si="89"/>
        <v>426000</v>
      </c>
      <c r="AJ44" s="187"/>
      <c r="AK44" s="187"/>
      <c r="AL44" s="187"/>
      <c r="AM44" s="187"/>
      <c r="AN44" s="337">
        <f t="shared" si="90"/>
        <v>0</v>
      </c>
      <c r="AO44" s="187"/>
      <c r="AP44" s="187"/>
      <c r="AQ44" s="187"/>
      <c r="AR44" s="187"/>
      <c r="AS44" s="337">
        <f t="shared" si="91"/>
        <v>0</v>
      </c>
    </row>
    <row r="45" spans="2:45" ht="14" customHeight="1" x14ac:dyDescent="0.2">
      <c r="B45" s="47" t="s">
        <v>92</v>
      </c>
      <c r="C45" s="48" t="s">
        <v>93</v>
      </c>
      <c r="D45" s="49"/>
      <c r="E45" s="49"/>
      <c r="F45" s="124"/>
      <c r="G45" s="124"/>
      <c r="I45" s="187">
        <f t="shared" si="84"/>
        <v>609510</v>
      </c>
      <c r="J45" s="187">
        <v>2190000</v>
      </c>
      <c r="K45" s="187"/>
      <c r="L45" s="187"/>
      <c r="M45" s="187"/>
      <c r="N45" s="187"/>
      <c r="O45" s="337">
        <f t="shared" si="85"/>
        <v>0</v>
      </c>
      <c r="P45" s="187"/>
      <c r="Q45" s="187">
        <v>609510</v>
      </c>
      <c r="R45" s="187"/>
      <c r="S45" s="187"/>
      <c r="T45" s="337">
        <f t="shared" si="86"/>
        <v>609510</v>
      </c>
      <c r="U45" s="187"/>
      <c r="V45" s="187"/>
      <c r="W45" s="187"/>
      <c r="X45" s="187"/>
      <c r="Y45" s="337">
        <f t="shared" si="87"/>
        <v>0</v>
      </c>
      <c r="Z45" s="187"/>
      <c r="AA45" s="187"/>
      <c r="AB45" s="187"/>
      <c r="AC45" s="187"/>
      <c r="AD45" s="337">
        <f t="shared" si="88"/>
        <v>0</v>
      </c>
      <c r="AE45" s="187"/>
      <c r="AF45" s="187"/>
      <c r="AG45" s="187"/>
      <c r="AH45" s="187"/>
      <c r="AI45" s="337">
        <f t="shared" si="89"/>
        <v>0</v>
      </c>
      <c r="AJ45" s="187"/>
      <c r="AK45" s="187"/>
      <c r="AL45" s="187"/>
      <c r="AM45" s="187"/>
      <c r="AN45" s="337">
        <f t="shared" si="90"/>
        <v>0</v>
      </c>
      <c r="AO45" s="187"/>
      <c r="AP45" s="187"/>
      <c r="AQ45" s="187"/>
      <c r="AR45" s="187"/>
      <c r="AS45" s="337">
        <f t="shared" si="91"/>
        <v>0</v>
      </c>
    </row>
    <row r="46" spans="2:45" ht="14" customHeight="1" x14ac:dyDescent="0.2">
      <c r="B46" s="47" t="s">
        <v>94</v>
      </c>
      <c r="C46" s="48" t="s">
        <v>95</v>
      </c>
      <c r="D46" s="49"/>
      <c r="E46" s="49"/>
      <c r="F46" s="124"/>
      <c r="G46" s="124"/>
      <c r="I46" s="187">
        <f t="shared" si="84"/>
        <v>4861000</v>
      </c>
      <c r="J46" s="187">
        <v>480000</v>
      </c>
      <c r="K46" s="187"/>
      <c r="L46" s="187"/>
      <c r="M46" s="187"/>
      <c r="N46" s="187"/>
      <c r="O46" s="337">
        <f t="shared" si="85"/>
        <v>0</v>
      </c>
      <c r="P46" s="187"/>
      <c r="Q46" s="187">
        <v>240000</v>
      </c>
      <c r="R46" s="187"/>
      <c r="S46" s="187"/>
      <c r="T46" s="337">
        <f t="shared" si="86"/>
        <v>240000</v>
      </c>
      <c r="U46" s="187"/>
      <c r="V46" s="187"/>
      <c r="W46" s="187">
        <v>887000</v>
      </c>
      <c r="X46" s="187"/>
      <c r="Y46" s="337">
        <f t="shared" si="87"/>
        <v>887000</v>
      </c>
      <c r="Z46" s="187"/>
      <c r="AA46" s="187">
        <v>1860000</v>
      </c>
      <c r="AB46" s="187"/>
      <c r="AC46" s="187"/>
      <c r="AD46" s="337">
        <f t="shared" si="88"/>
        <v>1860000</v>
      </c>
      <c r="AE46" s="187">
        <v>1874000</v>
      </c>
      <c r="AF46" s="187"/>
      <c r="AG46" s="187"/>
      <c r="AH46" s="187"/>
      <c r="AI46" s="337">
        <f t="shared" si="89"/>
        <v>1874000</v>
      </c>
      <c r="AJ46" s="187"/>
      <c r="AK46" s="187"/>
      <c r="AL46" s="187"/>
      <c r="AM46" s="187"/>
      <c r="AN46" s="337">
        <f t="shared" si="90"/>
        <v>0</v>
      </c>
      <c r="AO46" s="187"/>
      <c r="AP46" s="187"/>
      <c r="AQ46" s="187"/>
      <c r="AR46" s="187"/>
      <c r="AS46" s="337">
        <f t="shared" si="91"/>
        <v>0</v>
      </c>
    </row>
    <row r="47" spans="2:45" ht="14" customHeight="1" x14ac:dyDescent="0.2">
      <c r="B47" s="41">
        <v>4</v>
      </c>
      <c r="C47" s="56" t="s">
        <v>96</v>
      </c>
      <c r="D47" s="57"/>
      <c r="E47" s="57"/>
      <c r="F47" s="122"/>
      <c r="G47" s="122">
        <f>G48</f>
        <v>0</v>
      </c>
      <c r="I47" s="180">
        <f t="shared" ref="I47:I48" si="92">I48</f>
        <v>0</v>
      </c>
      <c r="J47" s="180">
        <f t="shared" ref="J47:AJ48" si="93">J48</f>
        <v>11448635</v>
      </c>
      <c r="K47" s="180">
        <f t="shared" si="93"/>
        <v>0</v>
      </c>
      <c r="L47" s="180">
        <f t="shared" si="93"/>
        <v>0</v>
      </c>
      <c r="M47" s="180">
        <f t="shared" si="93"/>
        <v>0</v>
      </c>
      <c r="N47" s="180">
        <f t="shared" si="93"/>
        <v>0</v>
      </c>
      <c r="O47" s="340">
        <f t="shared" si="93"/>
        <v>0</v>
      </c>
      <c r="P47" s="180">
        <f t="shared" si="93"/>
        <v>0</v>
      </c>
      <c r="Q47" s="180">
        <f t="shared" si="93"/>
        <v>0</v>
      </c>
      <c r="R47" s="180">
        <f t="shared" si="93"/>
        <v>0</v>
      </c>
      <c r="S47" s="180">
        <f t="shared" si="93"/>
        <v>0</v>
      </c>
      <c r="T47" s="340">
        <f t="shared" si="93"/>
        <v>0</v>
      </c>
      <c r="U47" s="180">
        <f t="shared" si="93"/>
        <v>0</v>
      </c>
      <c r="V47" s="180">
        <f t="shared" si="93"/>
        <v>0</v>
      </c>
      <c r="W47" s="180">
        <f t="shared" si="93"/>
        <v>0</v>
      </c>
      <c r="X47" s="180">
        <f t="shared" si="93"/>
        <v>0</v>
      </c>
      <c r="Y47" s="340">
        <f t="shared" si="93"/>
        <v>0</v>
      </c>
      <c r="Z47" s="180">
        <f t="shared" si="93"/>
        <v>0</v>
      </c>
      <c r="AA47" s="180">
        <f t="shared" si="93"/>
        <v>0</v>
      </c>
      <c r="AB47" s="180">
        <f t="shared" si="93"/>
        <v>0</v>
      </c>
      <c r="AC47" s="180">
        <f t="shared" si="93"/>
        <v>0</v>
      </c>
      <c r="AD47" s="340">
        <f t="shared" si="93"/>
        <v>0</v>
      </c>
      <c r="AE47" s="180">
        <f t="shared" si="93"/>
        <v>0</v>
      </c>
      <c r="AF47" s="180">
        <f t="shared" si="93"/>
        <v>0</v>
      </c>
      <c r="AG47" s="180">
        <f t="shared" si="93"/>
        <v>0</v>
      </c>
      <c r="AH47" s="180">
        <f t="shared" si="93"/>
        <v>0</v>
      </c>
      <c r="AI47" s="340">
        <f t="shared" si="93"/>
        <v>0</v>
      </c>
      <c r="AJ47" s="180">
        <f t="shared" si="93"/>
        <v>0</v>
      </c>
      <c r="AK47" s="180">
        <f t="shared" ref="AJ47:AS48" si="94">AK48</f>
        <v>0</v>
      </c>
      <c r="AL47" s="180">
        <f t="shared" si="94"/>
        <v>0</v>
      </c>
      <c r="AM47" s="180">
        <f t="shared" si="94"/>
        <v>0</v>
      </c>
      <c r="AN47" s="340">
        <f t="shared" si="94"/>
        <v>0</v>
      </c>
      <c r="AO47" s="180">
        <f t="shared" si="94"/>
        <v>0</v>
      </c>
      <c r="AP47" s="180">
        <f t="shared" si="94"/>
        <v>0</v>
      </c>
      <c r="AQ47" s="180">
        <f t="shared" si="94"/>
        <v>0</v>
      </c>
      <c r="AR47" s="180">
        <f t="shared" si="94"/>
        <v>0</v>
      </c>
      <c r="AS47" s="340">
        <f t="shared" si="94"/>
        <v>0</v>
      </c>
    </row>
    <row r="48" spans="2:45" ht="14" customHeight="1" x14ac:dyDescent="0.2">
      <c r="B48" s="44" t="s">
        <v>97</v>
      </c>
      <c r="C48" s="45" t="s">
        <v>98</v>
      </c>
      <c r="D48" s="46"/>
      <c r="E48" s="46"/>
      <c r="F48" s="123"/>
      <c r="G48" s="123">
        <f>G49</f>
        <v>0</v>
      </c>
      <c r="I48" s="184">
        <f t="shared" si="92"/>
        <v>0</v>
      </c>
      <c r="J48" s="184">
        <f t="shared" si="93"/>
        <v>11448635</v>
      </c>
      <c r="K48" s="184">
        <f t="shared" si="93"/>
        <v>0</v>
      </c>
      <c r="L48" s="184">
        <f t="shared" si="93"/>
        <v>0</v>
      </c>
      <c r="M48" s="184">
        <f t="shared" si="93"/>
        <v>0</v>
      </c>
      <c r="N48" s="184">
        <f t="shared" si="93"/>
        <v>0</v>
      </c>
      <c r="O48" s="195">
        <f t="shared" si="93"/>
        <v>0</v>
      </c>
      <c r="P48" s="184">
        <f t="shared" si="93"/>
        <v>0</v>
      </c>
      <c r="Q48" s="184">
        <f t="shared" si="93"/>
        <v>0</v>
      </c>
      <c r="R48" s="184">
        <f t="shared" si="93"/>
        <v>0</v>
      </c>
      <c r="S48" s="184">
        <f t="shared" si="93"/>
        <v>0</v>
      </c>
      <c r="T48" s="195">
        <f t="shared" si="93"/>
        <v>0</v>
      </c>
      <c r="U48" s="184">
        <f t="shared" si="93"/>
        <v>0</v>
      </c>
      <c r="V48" s="184">
        <f t="shared" si="93"/>
        <v>0</v>
      </c>
      <c r="W48" s="184">
        <f t="shared" si="93"/>
        <v>0</v>
      </c>
      <c r="X48" s="184">
        <f t="shared" si="93"/>
        <v>0</v>
      </c>
      <c r="Y48" s="195">
        <f t="shared" si="93"/>
        <v>0</v>
      </c>
      <c r="Z48" s="184">
        <f t="shared" si="93"/>
        <v>0</v>
      </c>
      <c r="AA48" s="184">
        <f t="shared" si="93"/>
        <v>0</v>
      </c>
      <c r="AB48" s="184">
        <f t="shared" si="93"/>
        <v>0</v>
      </c>
      <c r="AC48" s="184">
        <f t="shared" si="93"/>
        <v>0</v>
      </c>
      <c r="AD48" s="195">
        <f t="shared" si="93"/>
        <v>0</v>
      </c>
      <c r="AE48" s="184">
        <f t="shared" si="93"/>
        <v>0</v>
      </c>
      <c r="AF48" s="184">
        <f t="shared" si="93"/>
        <v>0</v>
      </c>
      <c r="AG48" s="184">
        <f t="shared" si="93"/>
        <v>0</v>
      </c>
      <c r="AH48" s="184">
        <f t="shared" si="93"/>
        <v>0</v>
      </c>
      <c r="AI48" s="195">
        <f t="shared" si="93"/>
        <v>0</v>
      </c>
      <c r="AJ48" s="184">
        <f t="shared" si="94"/>
        <v>0</v>
      </c>
      <c r="AK48" s="184">
        <f t="shared" si="94"/>
        <v>0</v>
      </c>
      <c r="AL48" s="184">
        <f t="shared" si="94"/>
        <v>0</v>
      </c>
      <c r="AM48" s="184">
        <f t="shared" si="94"/>
        <v>0</v>
      </c>
      <c r="AN48" s="195">
        <f t="shared" si="94"/>
        <v>0</v>
      </c>
      <c r="AO48" s="184">
        <f t="shared" si="94"/>
        <v>0</v>
      </c>
      <c r="AP48" s="184">
        <f t="shared" si="94"/>
        <v>0</v>
      </c>
      <c r="AQ48" s="184">
        <f t="shared" si="94"/>
        <v>0</v>
      </c>
      <c r="AR48" s="184">
        <f t="shared" si="94"/>
        <v>0</v>
      </c>
      <c r="AS48" s="195">
        <f t="shared" si="94"/>
        <v>0</v>
      </c>
    </row>
    <row r="49" spans="2:45" ht="14" customHeight="1" x14ac:dyDescent="0.2">
      <c r="B49" s="127" t="s">
        <v>99</v>
      </c>
      <c r="C49" s="118" t="s">
        <v>98</v>
      </c>
      <c r="D49" s="128"/>
      <c r="E49" s="128"/>
      <c r="F49" s="129"/>
      <c r="G49" s="124"/>
      <c r="I49" s="187">
        <f>O49+T49+Y49+AD49+AI49+AN49</f>
        <v>0</v>
      </c>
      <c r="J49" s="187">
        <v>11448635</v>
      </c>
      <c r="K49" s="187"/>
      <c r="L49" s="187"/>
      <c r="M49" s="187"/>
      <c r="N49" s="187"/>
      <c r="O49" s="337">
        <f>SUM(K49:N49)</f>
        <v>0</v>
      </c>
      <c r="P49" s="187"/>
      <c r="Q49" s="187"/>
      <c r="R49" s="187"/>
      <c r="S49" s="187"/>
      <c r="T49" s="337">
        <f>SUM(P49:S49)</f>
        <v>0</v>
      </c>
      <c r="U49" s="187"/>
      <c r="V49" s="187"/>
      <c r="W49" s="187"/>
      <c r="X49" s="187"/>
      <c r="Y49" s="337">
        <f>SUM(U49:X49)</f>
        <v>0</v>
      </c>
      <c r="Z49" s="187"/>
      <c r="AA49" s="187"/>
      <c r="AB49" s="187"/>
      <c r="AC49" s="187"/>
      <c r="AD49" s="337">
        <f>SUM(Z49:AC49)</f>
        <v>0</v>
      </c>
      <c r="AE49" s="187"/>
      <c r="AF49" s="187"/>
      <c r="AG49" s="187"/>
      <c r="AH49" s="187"/>
      <c r="AI49" s="337">
        <f>SUM(AE49:AH49)</f>
        <v>0</v>
      </c>
      <c r="AJ49" s="187"/>
      <c r="AK49" s="187"/>
      <c r="AL49" s="187"/>
      <c r="AM49" s="187"/>
      <c r="AN49" s="337">
        <f>SUM(AJ49:AM49)</f>
        <v>0</v>
      </c>
      <c r="AO49" s="187"/>
      <c r="AP49" s="187"/>
      <c r="AQ49" s="187"/>
      <c r="AR49" s="187"/>
      <c r="AS49" s="337">
        <f>SUM(AO49:AR49)</f>
        <v>0</v>
      </c>
    </row>
    <row r="50" spans="2:45" ht="14" customHeight="1" x14ac:dyDescent="0.2">
      <c r="B50" s="41">
        <v>5</v>
      </c>
      <c r="C50" s="56" t="s">
        <v>100</v>
      </c>
      <c r="D50" s="57"/>
      <c r="E50" s="57"/>
      <c r="F50" s="122"/>
      <c r="G50" s="122">
        <f>SUM(G51)</f>
        <v>0</v>
      </c>
      <c r="I50" s="180">
        <f>SUM(I51)</f>
        <v>71708195.719999999</v>
      </c>
      <c r="J50" s="180">
        <f t="shared" ref="J50" si="95">SUM(J51)</f>
        <v>2045743.2799999998</v>
      </c>
      <c r="K50" s="251">
        <f t="shared" ref="K50:AS50" si="96">SUM(K51)</f>
        <v>0</v>
      </c>
      <c r="L50" s="251">
        <f t="shared" si="96"/>
        <v>0</v>
      </c>
      <c r="M50" s="251">
        <f t="shared" si="96"/>
        <v>0</v>
      </c>
      <c r="N50" s="251">
        <f t="shared" si="96"/>
        <v>0</v>
      </c>
      <c r="O50" s="341">
        <f t="shared" si="96"/>
        <v>0</v>
      </c>
      <c r="P50" s="251">
        <f t="shared" si="96"/>
        <v>0</v>
      </c>
      <c r="Q50" s="251">
        <f t="shared" si="96"/>
        <v>0</v>
      </c>
      <c r="R50" s="251">
        <f t="shared" si="96"/>
        <v>0</v>
      </c>
      <c r="S50" s="251">
        <f t="shared" si="96"/>
        <v>0</v>
      </c>
      <c r="T50" s="341">
        <f t="shared" si="96"/>
        <v>0</v>
      </c>
      <c r="U50" s="251">
        <f t="shared" si="96"/>
        <v>0</v>
      </c>
      <c r="V50" s="251">
        <f t="shared" si="96"/>
        <v>0</v>
      </c>
      <c r="W50" s="251">
        <f t="shared" si="96"/>
        <v>78</v>
      </c>
      <c r="X50" s="251">
        <f t="shared" si="96"/>
        <v>0</v>
      </c>
      <c r="Y50" s="251">
        <f t="shared" si="96"/>
        <v>78</v>
      </c>
      <c r="Z50" s="251">
        <f t="shared" si="96"/>
        <v>0</v>
      </c>
      <c r="AA50" s="251">
        <f t="shared" si="96"/>
        <v>0</v>
      </c>
      <c r="AB50" s="251">
        <f t="shared" si="96"/>
        <v>0</v>
      </c>
      <c r="AC50" s="251">
        <f t="shared" si="96"/>
        <v>0</v>
      </c>
      <c r="AD50" s="341">
        <f t="shared" si="96"/>
        <v>0</v>
      </c>
      <c r="AE50" s="251">
        <f t="shared" si="96"/>
        <v>0</v>
      </c>
      <c r="AF50" s="251">
        <f t="shared" si="96"/>
        <v>0</v>
      </c>
      <c r="AG50" s="251">
        <f t="shared" si="96"/>
        <v>0</v>
      </c>
      <c r="AH50" s="251">
        <f t="shared" si="96"/>
        <v>0</v>
      </c>
      <c r="AI50" s="341">
        <f t="shared" si="96"/>
        <v>0</v>
      </c>
      <c r="AJ50" s="251">
        <f t="shared" si="96"/>
        <v>0</v>
      </c>
      <c r="AK50" s="251">
        <f t="shared" si="96"/>
        <v>0</v>
      </c>
      <c r="AL50" s="251">
        <f t="shared" si="96"/>
        <v>0</v>
      </c>
      <c r="AM50" s="251">
        <f t="shared" si="96"/>
        <v>37</v>
      </c>
      <c r="AN50" s="341">
        <f t="shared" si="96"/>
        <v>37</v>
      </c>
      <c r="AO50" s="251">
        <f t="shared" si="96"/>
        <v>0</v>
      </c>
      <c r="AP50" s="251">
        <f t="shared" si="96"/>
        <v>36</v>
      </c>
      <c r="AQ50" s="251">
        <f t="shared" si="96"/>
        <v>0</v>
      </c>
      <c r="AR50" s="251">
        <f t="shared" si="96"/>
        <v>162</v>
      </c>
      <c r="AS50" s="341">
        <f t="shared" si="96"/>
        <v>198</v>
      </c>
    </row>
    <row r="51" spans="2:45" ht="14" customHeight="1" x14ac:dyDescent="0.2">
      <c r="B51" s="44" t="s">
        <v>101</v>
      </c>
      <c r="C51" s="45" t="s">
        <v>102</v>
      </c>
      <c r="D51" s="46"/>
      <c r="E51" s="46"/>
      <c r="F51" s="123"/>
      <c r="G51" s="123">
        <f>G53</f>
        <v>0</v>
      </c>
      <c r="I51" s="184">
        <f>I52+I56</f>
        <v>71708195.719999999</v>
      </c>
      <c r="J51" s="184">
        <f>J52+J56</f>
        <v>2045743.2799999998</v>
      </c>
      <c r="K51" s="252">
        <f t="shared" ref="K51:AI51" si="97">K52+K56</f>
        <v>0</v>
      </c>
      <c r="L51" s="252">
        <f t="shared" si="97"/>
        <v>0</v>
      </c>
      <c r="M51" s="252">
        <f t="shared" si="97"/>
        <v>0</v>
      </c>
      <c r="N51" s="252">
        <f t="shared" si="97"/>
        <v>0</v>
      </c>
      <c r="O51" s="253">
        <f t="shared" si="97"/>
        <v>0</v>
      </c>
      <c r="P51" s="252">
        <f t="shared" si="97"/>
        <v>0</v>
      </c>
      <c r="Q51" s="252">
        <f t="shared" si="97"/>
        <v>0</v>
      </c>
      <c r="R51" s="252">
        <f t="shared" si="97"/>
        <v>0</v>
      </c>
      <c r="S51" s="252">
        <f t="shared" si="97"/>
        <v>0</v>
      </c>
      <c r="T51" s="253">
        <f t="shared" si="97"/>
        <v>0</v>
      </c>
      <c r="U51" s="252">
        <f t="shared" si="97"/>
        <v>0</v>
      </c>
      <c r="V51" s="252">
        <f t="shared" si="97"/>
        <v>0</v>
      </c>
      <c r="W51" s="252">
        <f t="shared" si="97"/>
        <v>78</v>
      </c>
      <c r="X51" s="252">
        <f t="shared" si="97"/>
        <v>0</v>
      </c>
      <c r="Y51" s="253">
        <f t="shared" si="97"/>
        <v>78</v>
      </c>
      <c r="Z51" s="252">
        <f t="shared" si="97"/>
        <v>0</v>
      </c>
      <c r="AA51" s="252">
        <f t="shared" si="97"/>
        <v>0</v>
      </c>
      <c r="AB51" s="252">
        <f t="shared" si="97"/>
        <v>0</v>
      </c>
      <c r="AC51" s="252">
        <f t="shared" si="97"/>
        <v>0</v>
      </c>
      <c r="AD51" s="253">
        <f t="shared" si="97"/>
        <v>0</v>
      </c>
      <c r="AE51" s="252">
        <f t="shared" si="97"/>
        <v>0</v>
      </c>
      <c r="AF51" s="252">
        <f t="shared" si="97"/>
        <v>0</v>
      </c>
      <c r="AG51" s="252">
        <f t="shared" si="97"/>
        <v>0</v>
      </c>
      <c r="AH51" s="252">
        <f t="shared" si="97"/>
        <v>0</v>
      </c>
      <c r="AI51" s="253">
        <f t="shared" si="97"/>
        <v>0</v>
      </c>
      <c r="AJ51" s="252">
        <f t="shared" ref="AJ51:AN51" si="98">AJ52+AJ56</f>
        <v>0</v>
      </c>
      <c r="AK51" s="252">
        <f t="shared" si="98"/>
        <v>0</v>
      </c>
      <c r="AL51" s="252">
        <f t="shared" si="98"/>
        <v>0</v>
      </c>
      <c r="AM51" s="252">
        <f t="shared" si="98"/>
        <v>37</v>
      </c>
      <c r="AN51" s="253">
        <f t="shared" si="98"/>
        <v>37</v>
      </c>
      <c r="AO51" s="252">
        <f t="shared" ref="AO51:AS51" si="99">AO52+AO56</f>
        <v>0</v>
      </c>
      <c r="AP51" s="252">
        <f t="shared" si="99"/>
        <v>36</v>
      </c>
      <c r="AQ51" s="252">
        <f t="shared" si="99"/>
        <v>0</v>
      </c>
      <c r="AR51" s="252">
        <f t="shared" si="99"/>
        <v>162</v>
      </c>
      <c r="AS51" s="253">
        <f t="shared" si="99"/>
        <v>198</v>
      </c>
    </row>
    <row r="52" spans="2:45" ht="14" customHeight="1" x14ac:dyDescent="0.2">
      <c r="B52" s="141" t="s">
        <v>103</v>
      </c>
      <c r="C52" s="142" t="s">
        <v>104</v>
      </c>
      <c r="D52" s="143"/>
      <c r="E52" s="143"/>
      <c r="F52" s="144"/>
      <c r="G52" s="145"/>
      <c r="I52" s="195">
        <f>SUM(I53:I55)</f>
        <v>70528548.719999999</v>
      </c>
      <c r="J52" s="195">
        <f>SUM(J53:J55)</f>
        <v>866096.27999999991</v>
      </c>
      <c r="K52" s="253">
        <f t="shared" ref="K52:AI52" si="100">SUM(K53:K55)</f>
        <v>0</v>
      </c>
      <c r="L52" s="253">
        <f t="shared" si="100"/>
        <v>0</v>
      </c>
      <c r="M52" s="253">
        <f t="shared" si="100"/>
        <v>0</v>
      </c>
      <c r="N52" s="253">
        <f t="shared" si="100"/>
        <v>0</v>
      </c>
      <c r="O52" s="253">
        <f t="shared" si="100"/>
        <v>0</v>
      </c>
      <c r="P52" s="253">
        <f t="shared" si="100"/>
        <v>0</v>
      </c>
      <c r="Q52" s="253">
        <f t="shared" si="100"/>
        <v>0</v>
      </c>
      <c r="R52" s="253">
        <f t="shared" si="100"/>
        <v>0</v>
      </c>
      <c r="S52" s="253">
        <f t="shared" si="100"/>
        <v>0</v>
      </c>
      <c r="T52" s="253">
        <f t="shared" si="100"/>
        <v>0</v>
      </c>
      <c r="U52" s="253">
        <f t="shared" si="100"/>
        <v>0</v>
      </c>
      <c r="V52" s="253">
        <f t="shared" si="100"/>
        <v>0</v>
      </c>
      <c r="W52" s="253">
        <f t="shared" si="100"/>
        <v>76</v>
      </c>
      <c r="X52" s="253">
        <f t="shared" si="100"/>
        <v>0</v>
      </c>
      <c r="Y52" s="253">
        <f t="shared" si="100"/>
        <v>76</v>
      </c>
      <c r="Z52" s="253">
        <f t="shared" si="100"/>
        <v>0</v>
      </c>
      <c r="AA52" s="253">
        <f t="shared" si="100"/>
        <v>0</v>
      </c>
      <c r="AB52" s="253">
        <f t="shared" si="100"/>
        <v>0</v>
      </c>
      <c r="AC52" s="253">
        <f t="shared" si="100"/>
        <v>0</v>
      </c>
      <c r="AD52" s="253">
        <f t="shared" si="100"/>
        <v>0</v>
      </c>
      <c r="AE52" s="253">
        <f t="shared" si="100"/>
        <v>0</v>
      </c>
      <c r="AF52" s="253">
        <f t="shared" si="100"/>
        <v>0</v>
      </c>
      <c r="AG52" s="253">
        <f t="shared" si="100"/>
        <v>0</v>
      </c>
      <c r="AH52" s="253">
        <f t="shared" si="100"/>
        <v>0</v>
      </c>
      <c r="AI52" s="253">
        <f t="shared" si="100"/>
        <v>0</v>
      </c>
      <c r="AJ52" s="253">
        <f t="shared" ref="AJ52:AN52" si="101">SUM(AJ53:AJ55)</f>
        <v>0</v>
      </c>
      <c r="AK52" s="253">
        <f t="shared" si="101"/>
        <v>0</v>
      </c>
      <c r="AL52" s="253">
        <f t="shared" si="101"/>
        <v>0</v>
      </c>
      <c r="AM52" s="253">
        <f t="shared" si="101"/>
        <v>37</v>
      </c>
      <c r="AN52" s="253">
        <f t="shared" si="101"/>
        <v>37</v>
      </c>
      <c r="AO52" s="253">
        <f t="shared" ref="AO52:AS52" si="102">SUM(AO53:AO55)</f>
        <v>0</v>
      </c>
      <c r="AP52" s="253">
        <f t="shared" si="102"/>
        <v>36</v>
      </c>
      <c r="AQ52" s="253">
        <f t="shared" si="102"/>
        <v>0</v>
      </c>
      <c r="AR52" s="253">
        <f t="shared" si="102"/>
        <v>0</v>
      </c>
      <c r="AS52" s="253">
        <f t="shared" si="102"/>
        <v>36</v>
      </c>
    </row>
    <row r="53" spans="2:45" ht="14" customHeight="1" x14ac:dyDescent="0.2">
      <c r="B53" s="117" t="s">
        <v>105</v>
      </c>
      <c r="C53" s="118" t="s">
        <v>106</v>
      </c>
      <c r="D53" s="115">
        <v>136</v>
      </c>
      <c r="E53" s="119" t="s">
        <v>107</v>
      </c>
      <c r="F53" s="130"/>
      <c r="G53" s="129"/>
      <c r="H53" s="296"/>
      <c r="I53" s="187">
        <f t="shared" ref="I53:I55" si="103">(O53+T53+Y53+AD53+AI53+AN53)*J53</f>
        <v>68375296.079999998</v>
      </c>
      <c r="J53" s="187">
        <f>563316*1.19</f>
        <v>670346.03999999992</v>
      </c>
      <c r="K53" s="254"/>
      <c r="L53" s="254"/>
      <c r="M53" s="254"/>
      <c r="N53" s="254"/>
      <c r="O53" s="338">
        <f t="shared" ref="O53:O55" si="104">SUM(K53:N53)</f>
        <v>0</v>
      </c>
      <c r="P53" s="254"/>
      <c r="Q53" s="254"/>
      <c r="R53" s="254"/>
      <c r="S53" s="254"/>
      <c r="T53" s="338">
        <f t="shared" ref="T53:T55" si="105">SUM(P53:S53)</f>
        <v>0</v>
      </c>
      <c r="U53" s="254"/>
      <c r="V53" s="254"/>
      <c r="W53" s="254">
        <v>68</v>
      </c>
      <c r="X53" s="254"/>
      <c r="Y53" s="338">
        <f t="shared" ref="Y53:Y55" si="106">SUM(U53:X53)</f>
        <v>68</v>
      </c>
      <c r="Z53" s="254"/>
      <c r="AA53" s="254"/>
      <c r="AB53" s="254"/>
      <c r="AC53" s="254"/>
      <c r="AD53" s="338">
        <f t="shared" ref="AD53:AD55" si="107">SUM(Z53:AC53)</f>
        <v>0</v>
      </c>
      <c r="AE53" s="254"/>
      <c r="AF53" s="254"/>
      <c r="AG53" s="254"/>
      <c r="AH53" s="254"/>
      <c r="AI53" s="338">
        <f t="shared" ref="AI53:AI55" si="108">SUM(AE53:AH53)</f>
        <v>0</v>
      </c>
      <c r="AJ53" s="254"/>
      <c r="AK53" s="254"/>
      <c r="AL53" s="254"/>
      <c r="AM53" s="254">
        <v>34</v>
      </c>
      <c r="AN53" s="338">
        <f t="shared" ref="AN53:AN55" si="109">SUM(AJ53:AM53)</f>
        <v>34</v>
      </c>
      <c r="AO53" s="254"/>
      <c r="AP53" s="254">
        <v>34</v>
      </c>
      <c r="AQ53" s="254"/>
      <c r="AR53" s="254"/>
      <c r="AS53" s="338">
        <f t="shared" ref="AS53:AS55" si="110">SUM(AO53:AR53)</f>
        <v>34</v>
      </c>
    </row>
    <row r="54" spans="2:45" ht="14" customHeight="1" x14ac:dyDescent="0.2">
      <c r="B54" s="117" t="s">
        <v>108</v>
      </c>
      <c r="C54" s="118" t="s">
        <v>109</v>
      </c>
      <c r="D54" s="115"/>
      <c r="E54" s="119"/>
      <c r="F54" s="130"/>
      <c r="G54" s="129"/>
      <c r="I54" s="187">
        <f t="shared" si="103"/>
        <v>0</v>
      </c>
      <c r="J54" s="187"/>
      <c r="K54" s="254"/>
      <c r="L54" s="254"/>
      <c r="M54" s="254"/>
      <c r="N54" s="254"/>
      <c r="O54" s="338">
        <f t="shared" si="104"/>
        <v>0</v>
      </c>
      <c r="P54" s="254"/>
      <c r="Q54" s="254"/>
      <c r="R54" s="254"/>
      <c r="S54" s="254"/>
      <c r="T54" s="338">
        <f t="shared" si="105"/>
        <v>0</v>
      </c>
      <c r="U54" s="254"/>
      <c r="V54" s="254"/>
      <c r="W54" s="254"/>
      <c r="X54" s="254"/>
      <c r="Y54" s="338">
        <f t="shared" si="106"/>
        <v>0</v>
      </c>
      <c r="Z54" s="254"/>
      <c r="AA54" s="254"/>
      <c r="AB54" s="254"/>
      <c r="AC54" s="254"/>
      <c r="AD54" s="338">
        <f t="shared" si="107"/>
        <v>0</v>
      </c>
      <c r="AE54" s="254"/>
      <c r="AF54" s="254"/>
      <c r="AG54" s="254"/>
      <c r="AH54" s="254"/>
      <c r="AI54" s="338">
        <f t="shared" si="108"/>
        <v>0</v>
      </c>
      <c r="AJ54" s="254"/>
      <c r="AK54" s="254"/>
      <c r="AL54" s="254"/>
      <c r="AM54" s="254"/>
      <c r="AN54" s="338">
        <f t="shared" si="109"/>
        <v>0</v>
      </c>
      <c r="AO54" s="254"/>
      <c r="AP54" s="254"/>
      <c r="AQ54" s="254"/>
      <c r="AR54" s="254"/>
      <c r="AS54" s="338">
        <f t="shared" si="110"/>
        <v>0</v>
      </c>
    </row>
    <row r="55" spans="2:45" ht="14" customHeight="1" x14ac:dyDescent="0.2">
      <c r="B55" s="117" t="s">
        <v>110</v>
      </c>
      <c r="C55" s="118" t="s">
        <v>111</v>
      </c>
      <c r="D55" s="115">
        <v>13</v>
      </c>
      <c r="E55" s="119" t="s">
        <v>107</v>
      </c>
      <c r="F55" s="130"/>
      <c r="G55" s="129"/>
      <c r="H55" s="296"/>
      <c r="I55" s="187">
        <f t="shared" si="103"/>
        <v>2153252.6399999997</v>
      </c>
      <c r="J55" s="187">
        <f>164496*1.19</f>
        <v>195750.24</v>
      </c>
      <c r="K55" s="254"/>
      <c r="L55" s="254"/>
      <c r="M55" s="254"/>
      <c r="N55" s="254"/>
      <c r="O55" s="338">
        <f t="shared" si="104"/>
        <v>0</v>
      </c>
      <c r="P55" s="254"/>
      <c r="Q55" s="254"/>
      <c r="R55" s="254"/>
      <c r="S55" s="254"/>
      <c r="T55" s="338">
        <f t="shared" si="105"/>
        <v>0</v>
      </c>
      <c r="U55" s="254"/>
      <c r="V55" s="254"/>
      <c r="W55" s="254">
        <v>8</v>
      </c>
      <c r="X55" s="254"/>
      <c r="Y55" s="338">
        <f t="shared" si="106"/>
        <v>8</v>
      </c>
      <c r="Z55" s="254"/>
      <c r="AA55" s="254"/>
      <c r="AB55" s="254"/>
      <c r="AC55" s="254"/>
      <c r="AD55" s="338">
        <f t="shared" si="107"/>
        <v>0</v>
      </c>
      <c r="AE55" s="254"/>
      <c r="AF55" s="254"/>
      <c r="AG55" s="254"/>
      <c r="AH55" s="254"/>
      <c r="AI55" s="338">
        <f t="shared" si="108"/>
        <v>0</v>
      </c>
      <c r="AJ55" s="254"/>
      <c r="AK55" s="254"/>
      <c r="AL55" s="254"/>
      <c r="AM55" s="254">
        <v>3</v>
      </c>
      <c r="AN55" s="338">
        <f t="shared" si="109"/>
        <v>3</v>
      </c>
      <c r="AO55" s="254"/>
      <c r="AP55" s="254">
        <v>2</v>
      </c>
      <c r="AQ55" s="254"/>
      <c r="AR55" s="254"/>
      <c r="AS55" s="338">
        <f t="shared" si="110"/>
        <v>2</v>
      </c>
    </row>
    <row r="56" spans="2:45" ht="14" customHeight="1" x14ac:dyDescent="0.2">
      <c r="B56" s="141" t="s">
        <v>112</v>
      </c>
      <c r="C56" s="142" t="s">
        <v>113</v>
      </c>
      <c r="D56" s="115"/>
      <c r="E56" s="143"/>
      <c r="F56" s="144"/>
      <c r="G56" s="145"/>
      <c r="I56" s="195">
        <f>SUM(I57:I59)</f>
        <v>1179647</v>
      </c>
      <c r="J56" s="195">
        <f>SUM(J57:J59)</f>
        <v>1179647</v>
      </c>
      <c r="K56" s="253">
        <f t="shared" ref="K56:AI56" si="111">SUM(K57:K59)</f>
        <v>0</v>
      </c>
      <c r="L56" s="253">
        <f t="shared" si="111"/>
        <v>0</v>
      </c>
      <c r="M56" s="253">
        <f t="shared" si="111"/>
        <v>0</v>
      </c>
      <c r="N56" s="253">
        <f t="shared" si="111"/>
        <v>0</v>
      </c>
      <c r="O56" s="253">
        <f t="shared" si="111"/>
        <v>0</v>
      </c>
      <c r="P56" s="253">
        <f t="shared" si="111"/>
        <v>0</v>
      </c>
      <c r="Q56" s="253">
        <f t="shared" si="111"/>
        <v>0</v>
      </c>
      <c r="R56" s="253">
        <f t="shared" si="111"/>
        <v>0</v>
      </c>
      <c r="S56" s="253">
        <f t="shared" si="111"/>
        <v>0</v>
      </c>
      <c r="T56" s="253">
        <f t="shared" si="111"/>
        <v>0</v>
      </c>
      <c r="U56" s="253">
        <f t="shared" si="111"/>
        <v>0</v>
      </c>
      <c r="V56" s="253">
        <f t="shared" si="111"/>
        <v>0</v>
      </c>
      <c r="W56" s="253">
        <f t="shared" si="111"/>
        <v>2</v>
      </c>
      <c r="X56" s="253">
        <f t="shared" si="111"/>
        <v>0</v>
      </c>
      <c r="Y56" s="253">
        <f t="shared" si="111"/>
        <v>2</v>
      </c>
      <c r="Z56" s="253">
        <f t="shared" si="111"/>
        <v>0</v>
      </c>
      <c r="AA56" s="253">
        <f t="shared" si="111"/>
        <v>0</v>
      </c>
      <c r="AB56" s="253">
        <f t="shared" si="111"/>
        <v>0</v>
      </c>
      <c r="AC56" s="253">
        <f t="shared" si="111"/>
        <v>0</v>
      </c>
      <c r="AD56" s="253">
        <f t="shared" si="111"/>
        <v>0</v>
      </c>
      <c r="AE56" s="253">
        <f t="shared" si="111"/>
        <v>0</v>
      </c>
      <c r="AF56" s="253">
        <f t="shared" si="111"/>
        <v>0</v>
      </c>
      <c r="AG56" s="253">
        <f t="shared" si="111"/>
        <v>0</v>
      </c>
      <c r="AH56" s="253">
        <f t="shared" si="111"/>
        <v>0</v>
      </c>
      <c r="AI56" s="253">
        <f t="shared" si="111"/>
        <v>0</v>
      </c>
      <c r="AJ56" s="253">
        <f t="shared" ref="AJ56:AN56" si="112">SUM(AJ57:AJ59)</f>
        <v>0</v>
      </c>
      <c r="AK56" s="253">
        <f t="shared" si="112"/>
        <v>0</v>
      </c>
      <c r="AL56" s="253">
        <f t="shared" si="112"/>
        <v>0</v>
      </c>
      <c r="AM56" s="253">
        <f t="shared" si="112"/>
        <v>0</v>
      </c>
      <c r="AN56" s="253">
        <f t="shared" si="112"/>
        <v>0</v>
      </c>
      <c r="AO56" s="253">
        <f t="shared" ref="AO56:AS56" si="113">SUM(AO57:AO59)</f>
        <v>0</v>
      </c>
      <c r="AP56" s="253">
        <f t="shared" si="113"/>
        <v>0</v>
      </c>
      <c r="AQ56" s="253">
        <f t="shared" si="113"/>
        <v>0</v>
      </c>
      <c r="AR56" s="253">
        <f t="shared" si="113"/>
        <v>162</v>
      </c>
      <c r="AS56" s="253">
        <f t="shared" si="113"/>
        <v>162</v>
      </c>
    </row>
    <row r="57" spans="2:45" ht="14" customHeight="1" x14ac:dyDescent="0.2">
      <c r="B57" s="117" t="s">
        <v>114</v>
      </c>
      <c r="C57" s="118" t="s">
        <v>115</v>
      </c>
      <c r="D57" s="115">
        <v>149</v>
      </c>
      <c r="E57" s="119" t="s">
        <v>107</v>
      </c>
      <c r="F57" s="130"/>
      <c r="G57" s="129"/>
      <c r="H57" s="296"/>
      <c r="I57" s="187">
        <f t="shared" ref="I57:I59" si="114">(O57+T57+Y57+AD57+AI57+AN57)*J57</f>
        <v>983896.76</v>
      </c>
      <c r="J57" s="187">
        <f>826804*1.19</f>
        <v>983896.76</v>
      </c>
      <c r="K57" s="254"/>
      <c r="L57" s="254"/>
      <c r="M57" s="254"/>
      <c r="N57" s="254"/>
      <c r="O57" s="338">
        <f t="shared" ref="O57:O59" si="115">SUM(K57:N57)</f>
        <v>0</v>
      </c>
      <c r="P57" s="254"/>
      <c r="Q57" s="254"/>
      <c r="R57" s="254"/>
      <c r="S57" s="254"/>
      <c r="T57" s="338">
        <f t="shared" ref="T57:T59" si="116">SUM(P57:S57)</f>
        <v>0</v>
      </c>
      <c r="U57" s="254"/>
      <c r="V57" s="254"/>
      <c r="W57" s="254">
        <v>1</v>
      </c>
      <c r="X57" s="254"/>
      <c r="Y57" s="338">
        <f t="shared" ref="Y57:Y59" si="117">SUM(U57:X57)</f>
        <v>1</v>
      </c>
      <c r="Z57" s="254"/>
      <c r="AA57" s="254"/>
      <c r="AB57" s="254"/>
      <c r="AC57" s="254"/>
      <c r="AD57" s="338">
        <f t="shared" ref="AD57:AD59" si="118">SUM(Z57:AC57)</f>
        <v>0</v>
      </c>
      <c r="AE57" s="254"/>
      <c r="AF57" s="254"/>
      <c r="AG57" s="254"/>
      <c r="AH57" s="254"/>
      <c r="AI57" s="338">
        <f t="shared" ref="AI57:AI59" si="119">SUM(AE57:AH57)</f>
        <v>0</v>
      </c>
      <c r="AJ57" s="254"/>
      <c r="AK57" s="254"/>
      <c r="AL57" s="254"/>
      <c r="AM57" s="254"/>
      <c r="AN57" s="338">
        <f t="shared" ref="AN57:AN59" si="120">SUM(AJ57:AM57)</f>
        <v>0</v>
      </c>
      <c r="AO57" s="254"/>
      <c r="AP57" s="254"/>
      <c r="AQ57" s="254"/>
      <c r="AR57" s="254">
        <v>148</v>
      </c>
      <c r="AS57" s="338">
        <f t="shared" ref="AS57:AS59" si="121">SUM(AO57:AR57)</f>
        <v>148</v>
      </c>
    </row>
    <row r="58" spans="2:45" ht="14" customHeight="1" x14ac:dyDescent="0.2">
      <c r="B58" s="117" t="s">
        <v>116</v>
      </c>
      <c r="C58" s="118" t="s">
        <v>117</v>
      </c>
      <c r="D58" s="115"/>
      <c r="E58" s="119"/>
      <c r="F58" s="130"/>
      <c r="G58" s="129"/>
      <c r="I58" s="187">
        <f t="shared" si="114"/>
        <v>0</v>
      </c>
      <c r="J58" s="187"/>
      <c r="K58" s="254"/>
      <c r="L58" s="254"/>
      <c r="M58" s="254"/>
      <c r="N58" s="254"/>
      <c r="O58" s="338">
        <f t="shared" si="115"/>
        <v>0</v>
      </c>
      <c r="P58" s="254"/>
      <c r="Q58" s="254"/>
      <c r="R58" s="254"/>
      <c r="S58" s="254"/>
      <c r="T58" s="338">
        <f t="shared" si="116"/>
        <v>0</v>
      </c>
      <c r="U58" s="254"/>
      <c r="V58" s="254"/>
      <c r="W58" s="254"/>
      <c r="X58" s="254"/>
      <c r="Y58" s="338">
        <f t="shared" si="117"/>
        <v>0</v>
      </c>
      <c r="Z58" s="254"/>
      <c r="AA58" s="254"/>
      <c r="AB58" s="254"/>
      <c r="AC58" s="254"/>
      <c r="AD58" s="338">
        <f t="shared" si="118"/>
        <v>0</v>
      </c>
      <c r="AE58" s="254"/>
      <c r="AF58" s="254"/>
      <c r="AG58" s="254"/>
      <c r="AH58" s="254"/>
      <c r="AI58" s="338">
        <f t="shared" si="119"/>
        <v>0</v>
      </c>
      <c r="AJ58" s="254"/>
      <c r="AK58" s="254"/>
      <c r="AL58" s="254"/>
      <c r="AM58" s="254"/>
      <c r="AN58" s="338">
        <f t="shared" si="120"/>
        <v>0</v>
      </c>
      <c r="AO58" s="254"/>
      <c r="AP58" s="254"/>
      <c r="AQ58" s="254"/>
      <c r="AR58" s="254"/>
      <c r="AS58" s="338">
        <f t="shared" si="121"/>
        <v>0</v>
      </c>
    </row>
    <row r="59" spans="2:45" ht="14" customHeight="1" x14ac:dyDescent="0.2">
      <c r="B59" s="117" t="s">
        <v>118</v>
      </c>
      <c r="C59" s="118" t="s">
        <v>119</v>
      </c>
      <c r="D59" s="115">
        <v>15</v>
      </c>
      <c r="E59" s="119" t="s">
        <v>107</v>
      </c>
      <c r="F59" s="130"/>
      <c r="G59" s="129"/>
      <c r="H59" s="296"/>
      <c r="I59" s="187">
        <f t="shared" si="114"/>
        <v>195750.24</v>
      </c>
      <c r="J59" s="187">
        <f>164496*1.19</f>
        <v>195750.24</v>
      </c>
      <c r="K59" s="254"/>
      <c r="L59" s="254"/>
      <c r="M59" s="254"/>
      <c r="N59" s="254"/>
      <c r="O59" s="338">
        <f t="shared" si="115"/>
        <v>0</v>
      </c>
      <c r="P59" s="254"/>
      <c r="Q59" s="254"/>
      <c r="R59" s="254"/>
      <c r="S59" s="254"/>
      <c r="T59" s="338">
        <f t="shared" si="116"/>
        <v>0</v>
      </c>
      <c r="U59" s="254"/>
      <c r="V59" s="254"/>
      <c r="W59" s="254">
        <v>1</v>
      </c>
      <c r="X59" s="254"/>
      <c r="Y59" s="338">
        <f t="shared" si="117"/>
        <v>1</v>
      </c>
      <c r="Z59" s="254"/>
      <c r="AA59" s="254"/>
      <c r="AB59" s="254"/>
      <c r="AC59" s="254"/>
      <c r="AD59" s="338">
        <f t="shared" si="118"/>
        <v>0</v>
      </c>
      <c r="AE59" s="254"/>
      <c r="AF59" s="254"/>
      <c r="AG59" s="254"/>
      <c r="AH59" s="254"/>
      <c r="AI59" s="338">
        <f t="shared" si="119"/>
        <v>0</v>
      </c>
      <c r="AJ59" s="254"/>
      <c r="AK59" s="254"/>
      <c r="AL59" s="254"/>
      <c r="AM59" s="254"/>
      <c r="AN59" s="338">
        <f t="shared" si="120"/>
        <v>0</v>
      </c>
      <c r="AO59" s="254"/>
      <c r="AP59" s="254"/>
      <c r="AQ59" s="254"/>
      <c r="AR59" s="254">
        <v>14</v>
      </c>
      <c r="AS59" s="338">
        <f t="shared" si="121"/>
        <v>14</v>
      </c>
    </row>
    <row r="60" spans="2:45" ht="14" customHeight="1" x14ac:dyDescent="0.2">
      <c r="B60" s="41">
        <v>6</v>
      </c>
      <c r="C60" s="56" t="s">
        <v>120</v>
      </c>
      <c r="D60" s="57"/>
      <c r="E60" s="57"/>
      <c r="F60" s="122"/>
      <c r="G60" s="122" t="e">
        <f>SUM(G61)</f>
        <v>#REF!</v>
      </c>
      <c r="I60" s="180">
        <f t="shared" ref="I60" si="122">SUM(I61)</f>
        <v>977133380.74106038</v>
      </c>
      <c r="J60" s="180">
        <f t="shared" ref="J60:AS60" si="123">SUM(J61)</f>
        <v>4337.713874</v>
      </c>
      <c r="K60" s="180">
        <f t="shared" si="123"/>
        <v>0</v>
      </c>
      <c r="L60" s="180">
        <f t="shared" si="123"/>
        <v>0</v>
      </c>
      <c r="M60" s="180">
        <f t="shared" si="123"/>
        <v>0</v>
      </c>
      <c r="N60" s="180">
        <f t="shared" si="123"/>
        <v>0</v>
      </c>
      <c r="O60" s="340">
        <f t="shared" si="123"/>
        <v>0</v>
      </c>
      <c r="P60" s="180">
        <f t="shared" si="123"/>
        <v>0</v>
      </c>
      <c r="Q60" s="180">
        <f t="shared" si="123"/>
        <v>22002619.854477599</v>
      </c>
      <c r="R60" s="180">
        <f t="shared" si="123"/>
        <v>41568312.054541998</v>
      </c>
      <c r="S60" s="180">
        <f t="shared" si="123"/>
        <v>76700324.262842804</v>
      </c>
      <c r="T60" s="340">
        <f t="shared" si="123"/>
        <v>140271256.17186239</v>
      </c>
      <c r="U60" s="180">
        <f t="shared" si="123"/>
        <v>0</v>
      </c>
      <c r="V60" s="180">
        <f t="shared" si="123"/>
        <v>50655822.620572001</v>
      </c>
      <c r="W60" s="180">
        <f t="shared" si="123"/>
        <v>77146241.249090001</v>
      </c>
      <c r="X60" s="180">
        <f t="shared" si="123"/>
        <v>27349285.975570001</v>
      </c>
      <c r="Y60" s="340">
        <f t="shared" si="123"/>
        <v>155151349.84523201</v>
      </c>
      <c r="Z60" s="180">
        <f t="shared" si="123"/>
        <v>46318108.746572003</v>
      </c>
      <c r="AA60" s="180">
        <f t="shared" si="123"/>
        <v>22933493.251837999</v>
      </c>
      <c r="AB60" s="180">
        <f t="shared" si="123"/>
        <v>63929227.075011998</v>
      </c>
      <c r="AC60" s="180">
        <f t="shared" si="123"/>
        <v>90888118.801921993</v>
      </c>
      <c r="AD60" s="340">
        <f t="shared" si="123"/>
        <v>224068947.87534401</v>
      </c>
      <c r="AE60" s="180">
        <f t="shared" si="123"/>
        <v>90888118.801921993</v>
      </c>
      <c r="AF60" s="180">
        <f t="shared" si="123"/>
        <v>98995306.032427996</v>
      </c>
      <c r="AG60" s="180">
        <f t="shared" si="123"/>
        <v>20677882.037358001</v>
      </c>
      <c r="AH60" s="180">
        <f t="shared" si="123"/>
        <v>160495413.338</v>
      </c>
      <c r="AI60" s="340">
        <f t="shared" si="123"/>
        <v>371056720.20970798</v>
      </c>
      <c r="AJ60" s="180">
        <f t="shared" si="123"/>
        <v>86585106.638914004</v>
      </c>
      <c r="AK60" s="180">
        <f t="shared" si="123"/>
        <v>0</v>
      </c>
      <c r="AL60" s="180">
        <f t="shared" si="123"/>
        <v>0</v>
      </c>
      <c r="AM60" s="180">
        <f t="shared" si="123"/>
        <v>0</v>
      </c>
      <c r="AN60" s="340">
        <f t="shared" si="123"/>
        <v>86585106.638914004</v>
      </c>
      <c r="AO60" s="180">
        <f t="shared" si="123"/>
        <v>0</v>
      </c>
      <c r="AP60" s="180">
        <f t="shared" si="123"/>
        <v>0</v>
      </c>
      <c r="AQ60" s="180">
        <f t="shared" si="123"/>
        <v>0</v>
      </c>
      <c r="AR60" s="180">
        <f t="shared" si="123"/>
        <v>0</v>
      </c>
      <c r="AS60" s="340">
        <f t="shared" si="123"/>
        <v>0</v>
      </c>
    </row>
    <row r="61" spans="2:45" ht="14" customHeight="1" x14ac:dyDescent="0.2">
      <c r="B61" s="58" t="s">
        <v>121</v>
      </c>
      <c r="C61" s="45" t="s">
        <v>122</v>
      </c>
      <c r="D61" s="46"/>
      <c r="E61" s="46"/>
      <c r="F61" s="123"/>
      <c r="G61" s="123" t="e">
        <f>#REF!</f>
        <v>#REF!</v>
      </c>
      <c r="I61" s="184">
        <f>I62</f>
        <v>977133380.74106038</v>
      </c>
      <c r="J61" s="184">
        <f t="shared" ref="J61" si="124">J62</f>
        <v>4337.713874</v>
      </c>
      <c r="K61" s="184">
        <f>(K62*$J$61)+(K63*$J$63)</f>
        <v>0</v>
      </c>
      <c r="L61" s="184">
        <f t="shared" ref="L61:AN61" si="125">(L62*$J$61)+(L63*$J$63)</f>
        <v>0</v>
      </c>
      <c r="M61" s="184">
        <f t="shared" si="125"/>
        <v>0</v>
      </c>
      <c r="N61" s="184">
        <f t="shared" si="125"/>
        <v>0</v>
      </c>
      <c r="O61" s="195">
        <f t="shared" si="125"/>
        <v>0</v>
      </c>
      <c r="P61" s="184">
        <f t="shared" si="125"/>
        <v>0</v>
      </c>
      <c r="Q61" s="184">
        <f t="shared" si="125"/>
        <v>22002619.854477599</v>
      </c>
      <c r="R61" s="184">
        <f t="shared" si="125"/>
        <v>41568312.054541998</v>
      </c>
      <c r="S61" s="184">
        <f t="shared" si="125"/>
        <v>76700324.262842804</v>
      </c>
      <c r="T61" s="195">
        <f t="shared" si="125"/>
        <v>140271256.17186239</v>
      </c>
      <c r="U61" s="184">
        <f t="shared" si="125"/>
        <v>0</v>
      </c>
      <c r="V61" s="184">
        <f t="shared" si="125"/>
        <v>50655822.620572001</v>
      </c>
      <c r="W61" s="184">
        <f t="shared" si="125"/>
        <v>77146241.249090001</v>
      </c>
      <c r="X61" s="184">
        <f t="shared" si="125"/>
        <v>27349285.975570001</v>
      </c>
      <c r="Y61" s="195">
        <f t="shared" si="125"/>
        <v>155151349.84523201</v>
      </c>
      <c r="Z61" s="184">
        <f t="shared" si="125"/>
        <v>46318108.746572003</v>
      </c>
      <c r="AA61" s="184">
        <f t="shared" si="125"/>
        <v>22933493.251837999</v>
      </c>
      <c r="AB61" s="184">
        <f t="shared" si="125"/>
        <v>63929227.075011998</v>
      </c>
      <c r="AC61" s="184">
        <f t="shared" si="125"/>
        <v>90888118.801921993</v>
      </c>
      <c r="AD61" s="195">
        <f t="shared" si="125"/>
        <v>224068947.87534401</v>
      </c>
      <c r="AE61" s="184">
        <f t="shared" si="125"/>
        <v>90888118.801921993</v>
      </c>
      <c r="AF61" s="184">
        <f t="shared" si="125"/>
        <v>98995306.032427996</v>
      </c>
      <c r="AG61" s="184">
        <f t="shared" si="125"/>
        <v>20677882.037358001</v>
      </c>
      <c r="AH61" s="184">
        <f t="shared" si="125"/>
        <v>160495413.338</v>
      </c>
      <c r="AI61" s="195">
        <f t="shared" si="125"/>
        <v>371056720.20970798</v>
      </c>
      <c r="AJ61" s="184">
        <f t="shared" si="125"/>
        <v>86585106.638914004</v>
      </c>
      <c r="AK61" s="184">
        <f t="shared" si="125"/>
        <v>0</v>
      </c>
      <c r="AL61" s="184">
        <f t="shared" si="125"/>
        <v>0</v>
      </c>
      <c r="AM61" s="184">
        <f t="shared" si="125"/>
        <v>0</v>
      </c>
      <c r="AN61" s="195">
        <f t="shared" si="125"/>
        <v>86585106.638914004</v>
      </c>
      <c r="AO61" s="184">
        <f t="shared" ref="AO61:AS61" si="126">(AO62*$J$61)+(AO63*$J$63)</f>
        <v>0</v>
      </c>
      <c r="AP61" s="184">
        <f t="shared" si="126"/>
        <v>0</v>
      </c>
      <c r="AQ61" s="184">
        <f t="shared" si="126"/>
        <v>0</v>
      </c>
      <c r="AR61" s="184">
        <f t="shared" si="126"/>
        <v>0</v>
      </c>
      <c r="AS61" s="195">
        <f t="shared" si="126"/>
        <v>0</v>
      </c>
    </row>
    <row r="62" spans="2:45" ht="14" customHeight="1" x14ac:dyDescent="0.2">
      <c r="B62" s="59" t="s">
        <v>187</v>
      </c>
      <c r="C62" s="283" t="s">
        <v>188</v>
      </c>
      <c r="D62" s="154"/>
      <c r="E62" s="154"/>
      <c r="F62" s="280"/>
      <c r="G62" s="280"/>
      <c r="H62" s="33"/>
      <c r="I62" s="187">
        <f>(O62+T62+Y62+AD62+AI62+AN62)*J62</f>
        <v>977133380.74106038</v>
      </c>
      <c r="J62" s="335">
        <v>4337.713874</v>
      </c>
      <c r="K62" s="333"/>
      <c r="L62" s="333"/>
      <c r="M62" s="333"/>
      <c r="N62" s="333"/>
      <c r="O62" s="339">
        <f t="shared" ref="O62" si="127">SUM(K62:N62)</f>
        <v>0</v>
      </c>
      <c r="P62" s="333">
        <v>0</v>
      </c>
      <c r="Q62" s="333">
        <v>5072.3999999999996</v>
      </c>
      <c r="R62" s="333">
        <v>9583</v>
      </c>
      <c r="S62" s="333">
        <v>17682.2</v>
      </c>
      <c r="T62" s="339">
        <f t="shared" ref="T62" si="128">SUM(P62:S62)</f>
        <v>32337.599999999999</v>
      </c>
      <c r="U62" s="333"/>
      <c r="V62" s="333">
        <v>11678</v>
      </c>
      <c r="W62" s="333">
        <v>17785</v>
      </c>
      <c r="X62" s="336">
        <v>6305</v>
      </c>
      <c r="Y62" s="339">
        <f t="shared" ref="Y62" si="129">SUM(U62:X62)</f>
        <v>35768</v>
      </c>
      <c r="Z62" s="333">
        <v>10678</v>
      </c>
      <c r="AA62" s="333">
        <v>5287</v>
      </c>
      <c r="AB62" s="333">
        <v>14738</v>
      </c>
      <c r="AC62" s="333">
        <v>20953</v>
      </c>
      <c r="AD62" s="339">
        <f t="shared" ref="AD62" si="130">SUM(Z62:AC62)</f>
        <v>51656</v>
      </c>
      <c r="AE62" s="333">
        <v>20953</v>
      </c>
      <c r="AF62" s="333">
        <v>22822</v>
      </c>
      <c r="AG62" s="333">
        <v>4767</v>
      </c>
      <c r="AH62" s="363">
        <f>37000</f>
        <v>37000</v>
      </c>
      <c r="AI62" s="362">
        <f>SUM(AE62:AH62)</f>
        <v>85542</v>
      </c>
      <c r="AJ62" s="364">
        <v>19961</v>
      </c>
      <c r="AK62" s="333"/>
      <c r="AL62" s="333"/>
      <c r="AM62" s="333"/>
      <c r="AN62" s="339">
        <f t="shared" ref="AN62" si="131">SUM(AJ62:AM62)</f>
        <v>19961</v>
      </c>
      <c r="AO62" s="364"/>
      <c r="AP62" s="333"/>
      <c r="AQ62" s="333"/>
      <c r="AR62" s="333"/>
      <c r="AS62" s="339">
        <f t="shared" ref="AS62" si="132">SUM(AO62:AR62)</f>
        <v>0</v>
      </c>
    </row>
    <row r="63" spans="2:45" ht="14" customHeight="1" x14ac:dyDescent="0.2">
      <c r="B63" s="59" t="s">
        <v>189</v>
      </c>
      <c r="C63" s="283" t="s">
        <v>190</v>
      </c>
      <c r="D63" s="154"/>
      <c r="E63" s="154"/>
      <c r="F63" s="280"/>
      <c r="G63" s="280"/>
      <c r="I63" s="187">
        <f>(O63+T63+Y63+AD63+AI63+AN63)*J63</f>
        <v>0</v>
      </c>
      <c r="J63" s="332">
        <f>J62+350</f>
        <v>4687.713874</v>
      </c>
      <c r="K63" s="333"/>
      <c r="L63" s="333"/>
      <c r="M63" s="333"/>
      <c r="N63" s="333"/>
      <c r="O63" s="339"/>
      <c r="P63" s="333"/>
      <c r="Q63" s="333"/>
      <c r="R63" s="333"/>
      <c r="S63" s="333"/>
      <c r="T63" s="339"/>
      <c r="U63" s="333"/>
      <c r="V63" s="333"/>
      <c r="W63" s="333"/>
      <c r="X63" s="336"/>
      <c r="Y63" s="339"/>
      <c r="Z63" s="333"/>
      <c r="AA63" s="333"/>
      <c r="AB63" s="333"/>
      <c r="AC63" s="333"/>
      <c r="AD63" s="339"/>
      <c r="AE63" s="333"/>
      <c r="AF63" s="333"/>
      <c r="AG63" s="333"/>
      <c r="AH63" s="333"/>
      <c r="AI63" s="365"/>
      <c r="AJ63" s="333"/>
      <c r="AK63" s="333"/>
      <c r="AL63" s="333"/>
      <c r="AM63" s="333"/>
      <c r="AN63" s="339"/>
      <c r="AO63" s="333"/>
      <c r="AP63" s="333"/>
      <c r="AQ63" s="333"/>
      <c r="AR63" s="333"/>
      <c r="AS63" s="339"/>
    </row>
    <row r="65" spans="3:45" ht="14" customHeight="1" x14ac:dyDescent="0.2">
      <c r="C65" s="56" t="s">
        <v>128</v>
      </c>
      <c r="D65" s="56"/>
      <c r="E65" s="56"/>
      <c r="F65" s="56">
        <f>F53*D53</f>
        <v>0</v>
      </c>
      <c r="G65" s="42" t="e">
        <f>G60+G50+G47+G41+G14</f>
        <v>#REF!</v>
      </c>
      <c r="I65" s="137">
        <f>I60+I50+I47+I41+I14</f>
        <v>1149676252.4610605</v>
      </c>
      <c r="J65" s="137"/>
      <c r="K65" s="137">
        <f>(K60*$J$60)+(K53*$J$53)+(K54*$J$54)+(K55*$J$55)+(K57*$J$57)+(K58*$J$58)+(K59*$J$59)+K47+K41+K14</f>
        <v>0</v>
      </c>
      <c r="L65" s="137">
        <f>(L60*$J$60)+(L53*$J$53)+(L54*$J$54)+(L55*$J$55)+(L57*$J$57)+(L58*$J$58)+(L59*$J$59)+L47+L41+L14</f>
        <v>0</v>
      </c>
      <c r="M65" s="137">
        <f t="shared" ref="M65:AI65" si="133">(M60*$J$60)+(M53*$J$53)+(M54*$J$54)+(M55*$J$55)+(M57*$J$57)+(M58*$J$58)+(M59*$J$59)+M47+M41+M14</f>
        <v>64463869</v>
      </c>
      <c r="N65" s="137">
        <f t="shared" si="133"/>
        <v>2435886</v>
      </c>
      <c r="O65" s="137">
        <f t="shared" si="133"/>
        <v>66899755</v>
      </c>
      <c r="P65" s="137">
        <f t="shared" si="133"/>
        <v>0</v>
      </c>
      <c r="Q65" s="137">
        <f t="shared" si="133"/>
        <v>95442566817.115341</v>
      </c>
      <c r="R65" s="137">
        <f t="shared" si="133"/>
        <v>180311443917.74826</v>
      </c>
      <c r="S65" s="137">
        <f t="shared" si="133"/>
        <v>332714423265.23206</v>
      </c>
      <c r="T65" s="137">
        <f t="shared" si="133"/>
        <v>608468434000.09558</v>
      </c>
      <c r="U65" s="137">
        <f t="shared" si="133"/>
        <v>0</v>
      </c>
      <c r="V65" s="137">
        <f t="shared" si="133"/>
        <v>219730464580.13821</v>
      </c>
      <c r="W65" s="137">
        <f t="shared" si="133"/>
        <v>334688885172.76874</v>
      </c>
      <c r="X65" s="137">
        <f t="shared" si="133"/>
        <v>118640692478.22362</v>
      </c>
      <c r="Y65" s="137">
        <f t="shared" si="133"/>
        <v>673060042231.13062</v>
      </c>
      <c r="Z65" s="137">
        <f t="shared" si="133"/>
        <v>200914702927.44614</v>
      </c>
      <c r="AA65" s="137">
        <f t="shared" si="133"/>
        <v>99483439857.783066</v>
      </c>
      <c r="AB65" s="137">
        <f t="shared" si="133"/>
        <v>277306695237.37598</v>
      </c>
      <c r="AC65" s="137">
        <f t="shared" si="133"/>
        <v>394250277096.8573</v>
      </c>
      <c r="AD65" s="137">
        <f t="shared" si="133"/>
        <v>971955115119.46252</v>
      </c>
      <c r="AE65" s="137">
        <f t="shared" si="133"/>
        <v>394248953908.8573</v>
      </c>
      <c r="AF65" s="137">
        <f t="shared" si="133"/>
        <v>429413312437.73883</v>
      </c>
      <c r="AG65" s="137">
        <f t="shared" si="133"/>
        <v>89694735798.383194</v>
      </c>
      <c r="AH65" s="137">
        <f t="shared" si="133"/>
        <v>696186804337.6073</v>
      </c>
      <c r="AI65" s="137">
        <f t="shared" si="133"/>
        <v>1609540183294.5864</v>
      </c>
      <c r="AJ65" s="137">
        <f t="shared" ref="AJ65:AS65" si="134">(AJ60*$J$60)+(AJ53*$J$53)+(AJ54*$J$54)+(AJ55*$J$55)+(AJ57*$J$57)+(AJ58*$J$58)+(AJ59*$J$59)+AJ47+AJ41+AJ14</f>
        <v>375583511844.38678</v>
      </c>
      <c r="AK65" s="137">
        <f t="shared" si="134"/>
        <v>0</v>
      </c>
      <c r="AL65" s="137">
        <f t="shared" si="134"/>
        <v>0</v>
      </c>
      <c r="AM65" s="137">
        <f t="shared" si="134"/>
        <v>23379016.079999994</v>
      </c>
      <c r="AN65" s="137">
        <f t="shared" si="134"/>
        <v>375606890860.46674</v>
      </c>
      <c r="AO65" s="137">
        <f t="shared" si="134"/>
        <v>0</v>
      </c>
      <c r="AP65" s="137">
        <f t="shared" si="134"/>
        <v>23183265.839999996</v>
      </c>
      <c r="AQ65" s="137">
        <f t="shared" si="134"/>
        <v>0</v>
      </c>
      <c r="AR65" s="137">
        <f t="shared" si="134"/>
        <v>148357223.84</v>
      </c>
      <c r="AS65" s="137">
        <f t="shared" si="134"/>
        <v>171540489.68000001</v>
      </c>
    </row>
    <row r="68" spans="3:45" ht="14" customHeight="1" x14ac:dyDescent="0.2">
      <c r="AH68">
        <v>4453</v>
      </c>
    </row>
    <row r="69" spans="3:45" ht="14" customHeight="1" x14ac:dyDescent="0.2">
      <c r="E69" s="278" t="s">
        <v>236</v>
      </c>
      <c r="L69" s="33"/>
    </row>
    <row r="70" spans="3:45" ht="14" customHeight="1" x14ac:dyDescent="0.2">
      <c r="I70" s="33"/>
      <c r="K70" s="33"/>
    </row>
    <row r="72" spans="3:45" ht="14" customHeight="1" x14ac:dyDescent="0.2">
      <c r="H72" s="1"/>
    </row>
    <row r="73" spans="3:45" ht="14" customHeight="1" x14ac:dyDescent="0.2">
      <c r="H73" s="33"/>
    </row>
    <row r="75" spans="3:45" ht="14" customHeight="1" x14ac:dyDescent="0.2">
      <c r="H75" s="111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F0CB7-44E4-4673-935A-54CB68B85DEC}">
  <sheetPr>
    <tabColor rgb="FF00B0F0"/>
  </sheetPr>
  <dimension ref="B2:AI60"/>
  <sheetViews>
    <sheetView topLeftCell="B7" zoomScale="80" zoomScaleNormal="80" workbookViewId="0">
      <selection activeCell="AD56" sqref="AD56"/>
    </sheetView>
  </sheetViews>
  <sheetFormatPr baseColWidth="10" defaultColWidth="11.5" defaultRowHeight="14" customHeight="1" x14ac:dyDescent="0.2"/>
  <cols>
    <col min="3" max="3" width="31.6640625" customWidth="1"/>
    <col min="4" max="4" width="20.5" customWidth="1"/>
    <col min="5" max="7" width="24" customWidth="1"/>
    <col min="8" max="8" width="26.5" customWidth="1"/>
    <col min="9" max="9" width="23.1640625" customWidth="1"/>
    <col min="10" max="10" width="16.5" customWidth="1"/>
    <col min="12" max="12" width="19.1640625" customWidth="1"/>
    <col min="13" max="13" width="19.33203125" customWidth="1"/>
    <col min="14" max="14" width="21.33203125" customWidth="1"/>
    <col min="15" max="15" width="21.6640625" customWidth="1"/>
    <col min="16" max="16" width="16.5" customWidth="1"/>
    <col min="19" max="19" width="23" customWidth="1"/>
    <col min="20" max="20" width="17.6640625" customWidth="1"/>
    <col min="22" max="22" width="18.6640625" customWidth="1"/>
    <col min="24" max="24" width="17.33203125" customWidth="1"/>
    <col min="25" max="25" width="16.33203125" customWidth="1"/>
  </cols>
  <sheetData>
    <row r="2" spans="2:35" ht="14" customHeight="1" x14ac:dyDescent="0.2"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</row>
    <row r="3" spans="2:35" ht="14" customHeight="1" x14ac:dyDescent="0.2">
      <c r="B3" s="36" t="s">
        <v>0</v>
      </c>
      <c r="C3" s="36" t="s">
        <v>1</v>
      </c>
      <c r="D3" s="37" t="s">
        <v>2</v>
      </c>
      <c r="E3" s="37" t="s">
        <v>3</v>
      </c>
      <c r="F3" s="120" t="s">
        <v>4</v>
      </c>
      <c r="G3" s="120" t="s">
        <v>5</v>
      </c>
      <c r="I3" s="121" t="s">
        <v>6</v>
      </c>
      <c r="J3" s="121" t="s">
        <v>4</v>
      </c>
      <c r="K3" s="113" t="s">
        <v>7</v>
      </c>
      <c r="L3" s="113" t="s">
        <v>8</v>
      </c>
      <c r="M3" s="113" t="s">
        <v>9</v>
      </c>
      <c r="N3" s="113" t="s">
        <v>10</v>
      </c>
      <c r="O3" s="114" t="s">
        <v>11</v>
      </c>
      <c r="P3" s="113" t="s">
        <v>12</v>
      </c>
      <c r="Q3" s="113" t="s">
        <v>13</v>
      </c>
      <c r="R3" s="113" t="s">
        <v>14</v>
      </c>
      <c r="S3" s="113" t="s">
        <v>15</v>
      </c>
      <c r="T3" s="114" t="s">
        <v>16</v>
      </c>
      <c r="U3" s="113" t="s">
        <v>17</v>
      </c>
      <c r="V3" s="113" t="s">
        <v>18</v>
      </c>
      <c r="W3" s="113" t="s">
        <v>19</v>
      </c>
      <c r="X3" s="113" t="s">
        <v>20</v>
      </c>
      <c r="Y3" s="114" t="s">
        <v>21</v>
      </c>
      <c r="Z3" s="113" t="s">
        <v>22</v>
      </c>
      <c r="AA3" s="113" t="s">
        <v>23</v>
      </c>
      <c r="AB3" s="113" t="s">
        <v>24</v>
      </c>
      <c r="AC3" s="113" t="s">
        <v>25</v>
      </c>
      <c r="AD3" s="114" t="s">
        <v>26</v>
      </c>
      <c r="AE3" s="113" t="s">
        <v>27</v>
      </c>
      <c r="AF3" s="113" t="s">
        <v>28</v>
      </c>
      <c r="AG3" s="113" t="s">
        <v>29</v>
      </c>
      <c r="AH3" s="113" t="s">
        <v>30</v>
      </c>
      <c r="AI3" s="114" t="s">
        <v>31</v>
      </c>
    </row>
    <row r="4" spans="2:35" ht="14" customHeight="1" x14ac:dyDescent="0.2">
      <c r="B4" s="41">
        <v>1</v>
      </c>
      <c r="C4" s="122" t="s">
        <v>32</v>
      </c>
      <c r="D4" s="122"/>
      <c r="E4" s="122"/>
      <c r="F4" s="122"/>
      <c r="G4" s="122">
        <f>SUM(G5,G12,G16,G19,G29)</f>
        <v>150533984.5625</v>
      </c>
      <c r="I4" s="180">
        <f t="shared" ref="I4:AI4" si="0">SUM(I5,I12,I16,I19,I29)</f>
        <v>86899755</v>
      </c>
      <c r="J4" s="180">
        <f t="shared" si="0"/>
        <v>124426289</v>
      </c>
      <c r="K4" s="180">
        <f t="shared" si="0"/>
        <v>0</v>
      </c>
      <c r="L4" s="180">
        <f t="shared" si="0"/>
        <v>0</v>
      </c>
      <c r="M4" s="180">
        <f t="shared" si="0"/>
        <v>64463869</v>
      </c>
      <c r="N4" s="180">
        <f t="shared" si="0"/>
        <v>6435886</v>
      </c>
      <c r="O4" s="180">
        <f t="shared" si="0"/>
        <v>70899755</v>
      </c>
      <c r="P4" s="180">
        <f t="shared" si="0"/>
        <v>0</v>
      </c>
      <c r="Q4" s="180">
        <f t="shared" si="0"/>
        <v>0</v>
      </c>
      <c r="R4" s="180">
        <f t="shared" si="0"/>
        <v>0</v>
      </c>
      <c r="S4" s="180">
        <f t="shared" si="0"/>
        <v>4000000</v>
      </c>
      <c r="T4" s="180">
        <f t="shared" si="0"/>
        <v>4000000</v>
      </c>
      <c r="U4" s="180">
        <f t="shared" si="0"/>
        <v>0</v>
      </c>
      <c r="V4" s="180">
        <f t="shared" si="0"/>
        <v>0</v>
      </c>
      <c r="W4" s="180">
        <f t="shared" si="0"/>
        <v>0</v>
      </c>
      <c r="X4" s="180">
        <f t="shared" si="0"/>
        <v>4000000</v>
      </c>
      <c r="Y4" s="180">
        <f t="shared" si="0"/>
        <v>4000000</v>
      </c>
      <c r="Z4" s="180">
        <f t="shared" si="0"/>
        <v>0</v>
      </c>
      <c r="AA4" s="180">
        <f t="shared" si="0"/>
        <v>0</v>
      </c>
      <c r="AB4" s="180">
        <f t="shared" si="0"/>
        <v>0</v>
      </c>
      <c r="AC4" s="180">
        <f t="shared" si="0"/>
        <v>4000000</v>
      </c>
      <c r="AD4" s="180">
        <f t="shared" si="0"/>
        <v>4000000</v>
      </c>
      <c r="AE4" s="180">
        <f t="shared" si="0"/>
        <v>0</v>
      </c>
      <c r="AF4" s="180">
        <f t="shared" si="0"/>
        <v>0</v>
      </c>
      <c r="AG4" s="180">
        <f t="shared" si="0"/>
        <v>0</v>
      </c>
      <c r="AH4" s="180">
        <f t="shared" si="0"/>
        <v>4000000</v>
      </c>
      <c r="AI4" s="180">
        <f t="shared" si="0"/>
        <v>4000000</v>
      </c>
    </row>
    <row r="5" spans="2:35" ht="14" customHeight="1" x14ac:dyDescent="0.2">
      <c r="B5" s="51" t="s">
        <v>33</v>
      </c>
      <c r="C5" s="52" t="s">
        <v>34</v>
      </c>
      <c r="D5" s="123">
        <f t="shared" ref="D5:F5" si="1">SUM(D6:D11)</f>
        <v>6</v>
      </c>
      <c r="E5" s="123">
        <f t="shared" si="1"/>
        <v>0</v>
      </c>
      <c r="F5" s="123">
        <f t="shared" si="1"/>
        <v>18295782.187500004</v>
      </c>
      <c r="G5" s="123">
        <f>SUM(G6:G11)</f>
        <v>18295782.187500004</v>
      </c>
      <c r="I5" s="184">
        <f>SUM(I6:I11)</f>
        <v>5917366</v>
      </c>
      <c r="J5" s="184">
        <f t="shared" ref="J5:AI5" si="2">SUM(J6:J11)</f>
        <v>5917366</v>
      </c>
      <c r="K5" s="184">
        <f t="shared" si="2"/>
        <v>0</v>
      </c>
      <c r="L5" s="184">
        <f t="shared" si="2"/>
        <v>0</v>
      </c>
      <c r="M5" s="184">
        <f t="shared" si="2"/>
        <v>5917366</v>
      </c>
      <c r="N5" s="184">
        <f t="shared" si="2"/>
        <v>0</v>
      </c>
      <c r="O5" s="184">
        <f t="shared" si="2"/>
        <v>5917366</v>
      </c>
      <c r="P5" s="184">
        <f t="shared" si="2"/>
        <v>0</v>
      </c>
      <c r="Q5" s="184">
        <f t="shared" si="2"/>
        <v>0</v>
      </c>
      <c r="R5" s="184">
        <f t="shared" si="2"/>
        <v>0</v>
      </c>
      <c r="S5" s="184">
        <f t="shared" si="2"/>
        <v>0</v>
      </c>
      <c r="T5" s="184">
        <f t="shared" si="2"/>
        <v>0</v>
      </c>
      <c r="U5" s="184">
        <f t="shared" si="2"/>
        <v>0</v>
      </c>
      <c r="V5" s="184">
        <f t="shared" si="2"/>
        <v>0</v>
      </c>
      <c r="W5" s="184">
        <f t="shared" si="2"/>
        <v>0</v>
      </c>
      <c r="X5" s="184">
        <f t="shared" si="2"/>
        <v>0</v>
      </c>
      <c r="Y5" s="184">
        <f t="shared" si="2"/>
        <v>0</v>
      </c>
      <c r="Z5" s="184">
        <f t="shared" si="2"/>
        <v>0</v>
      </c>
      <c r="AA5" s="184">
        <f t="shared" si="2"/>
        <v>0</v>
      </c>
      <c r="AB5" s="184">
        <f t="shared" si="2"/>
        <v>0</v>
      </c>
      <c r="AC5" s="184">
        <f t="shared" si="2"/>
        <v>0</v>
      </c>
      <c r="AD5" s="184">
        <f t="shared" si="2"/>
        <v>0</v>
      </c>
      <c r="AE5" s="184">
        <f t="shared" si="2"/>
        <v>0</v>
      </c>
      <c r="AF5" s="184">
        <f t="shared" si="2"/>
        <v>0</v>
      </c>
      <c r="AG5" s="184">
        <f t="shared" si="2"/>
        <v>0</v>
      </c>
      <c r="AH5" s="184">
        <f t="shared" si="2"/>
        <v>0</v>
      </c>
      <c r="AI5" s="184">
        <f t="shared" si="2"/>
        <v>0</v>
      </c>
    </row>
    <row r="6" spans="2:35" ht="14" customHeight="1" x14ac:dyDescent="0.2">
      <c r="B6" s="47" t="s">
        <v>35</v>
      </c>
      <c r="C6" s="48" t="s">
        <v>36</v>
      </c>
      <c r="D6" s="49">
        <v>1</v>
      </c>
      <c r="E6" s="49" t="s">
        <v>37</v>
      </c>
      <c r="F6" s="124">
        <v>3512790.18</v>
      </c>
      <c r="G6" s="124">
        <f>+D6*F6</f>
        <v>3512790.18</v>
      </c>
      <c r="I6" s="187">
        <f>O6+T6+Y6+AD6+AI6</f>
        <v>516713.12</v>
      </c>
      <c r="J6" s="187">
        <v>516713.12</v>
      </c>
      <c r="K6" s="187"/>
      <c r="L6" s="187"/>
      <c r="M6" s="187">
        <v>516713.12</v>
      </c>
      <c r="N6" s="187"/>
      <c r="O6" s="187">
        <f>SUM(K6:N6)</f>
        <v>516713.12</v>
      </c>
      <c r="P6" s="187"/>
      <c r="Q6" s="187"/>
      <c r="R6" s="187"/>
      <c r="S6" s="187"/>
      <c r="T6" s="187">
        <f>SUM(P6:S6)</f>
        <v>0</v>
      </c>
      <c r="U6" s="187"/>
      <c r="V6" s="187"/>
      <c r="W6" s="187"/>
      <c r="X6" s="187"/>
      <c r="Y6" s="187">
        <f>SUM(U6:X6)</f>
        <v>0</v>
      </c>
      <c r="Z6" s="187"/>
      <c r="AA6" s="187"/>
      <c r="AB6" s="187"/>
      <c r="AC6" s="187"/>
      <c r="AD6" s="187">
        <f>SUM(Z6:AC6)</f>
        <v>0</v>
      </c>
      <c r="AE6" s="187"/>
      <c r="AF6" s="187"/>
      <c r="AG6" s="187"/>
      <c r="AH6" s="187"/>
      <c r="AI6" s="187">
        <f>SUM(AE6:AH6)</f>
        <v>0</v>
      </c>
    </row>
    <row r="7" spans="2:35" ht="14" customHeight="1" x14ac:dyDescent="0.2">
      <c r="B7" s="47" t="s">
        <v>38</v>
      </c>
      <c r="C7" s="48" t="s">
        <v>39</v>
      </c>
      <c r="D7" s="49">
        <v>1</v>
      </c>
      <c r="E7" s="49" t="s">
        <v>37</v>
      </c>
      <c r="F7" s="124">
        <v>3073691.4075000002</v>
      </c>
      <c r="G7" s="124">
        <f t="shared" ref="G7:G11" si="3">+D7*F7</f>
        <v>3073691.4075000002</v>
      </c>
      <c r="I7" s="187">
        <f t="shared" ref="I7:I30" si="4">O7+T7+Y7+AD7+AI7</f>
        <v>465741.43</v>
      </c>
      <c r="J7" s="187">
        <v>465741.43</v>
      </c>
      <c r="K7" s="187"/>
      <c r="L7" s="187"/>
      <c r="M7" s="187">
        <v>465741.43</v>
      </c>
      <c r="N7" s="187"/>
      <c r="O7" s="187">
        <f t="shared" ref="O7:O11" si="5">SUM(K7:N7)</f>
        <v>465741.43</v>
      </c>
      <c r="P7" s="187"/>
      <c r="Q7" s="187"/>
      <c r="R7" s="187"/>
      <c r="S7" s="187"/>
      <c r="T7" s="187">
        <f t="shared" ref="T7:T11" si="6">SUM(P7:S7)</f>
        <v>0</v>
      </c>
      <c r="U7" s="187"/>
      <c r="V7" s="187"/>
      <c r="W7" s="187"/>
      <c r="X7" s="187"/>
      <c r="Y7" s="187">
        <f t="shared" ref="Y7:Y11" si="7">SUM(U7:X7)</f>
        <v>0</v>
      </c>
      <c r="Z7" s="187"/>
      <c r="AA7" s="187"/>
      <c r="AB7" s="187"/>
      <c r="AC7" s="187"/>
      <c r="AD7" s="187">
        <f t="shared" ref="AD7:AD11" si="8">SUM(Z7:AC7)</f>
        <v>0</v>
      </c>
      <c r="AE7" s="187"/>
      <c r="AF7" s="187"/>
      <c r="AG7" s="187"/>
      <c r="AH7" s="187"/>
      <c r="AI7" s="187">
        <f t="shared" ref="AI7:AI11" si="9">SUM(AE7:AH7)</f>
        <v>0</v>
      </c>
    </row>
    <row r="8" spans="2:35" ht="14" customHeight="1" x14ac:dyDescent="0.2">
      <c r="B8" s="47" t="s">
        <v>40</v>
      </c>
      <c r="C8" s="48" t="s">
        <v>41</v>
      </c>
      <c r="D8" s="49">
        <v>1</v>
      </c>
      <c r="E8" s="49" t="s">
        <v>37</v>
      </c>
      <c r="F8" s="124">
        <v>2049127.6049999997</v>
      </c>
      <c r="G8" s="124">
        <f t="shared" si="3"/>
        <v>2049127.6049999997</v>
      </c>
      <c r="I8" s="187">
        <f t="shared" si="4"/>
        <v>349306.07</v>
      </c>
      <c r="J8" s="187">
        <v>349306.07</v>
      </c>
      <c r="K8" s="187"/>
      <c r="L8" s="187"/>
      <c r="M8" s="187">
        <v>349306.07</v>
      </c>
      <c r="N8" s="187"/>
      <c r="O8" s="187">
        <f t="shared" si="5"/>
        <v>349306.07</v>
      </c>
      <c r="P8" s="187"/>
      <c r="Q8" s="187"/>
      <c r="R8" s="187"/>
      <c r="S8" s="187"/>
      <c r="T8" s="187">
        <f t="shared" si="6"/>
        <v>0</v>
      </c>
      <c r="U8" s="187"/>
      <c r="V8" s="187"/>
      <c r="W8" s="187"/>
      <c r="X8" s="187"/>
      <c r="Y8" s="187">
        <f t="shared" si="7"/>
        <v>0</v>
      </c>
      <c r="Z8" s="187"/>
      <c r="AA8" s="187"/>
      <c r="AB8" s="187"/>
      <c r="AC8" s="187"/>
      <c r="AD8" s="187">
        <f t="shared" si="8"/>
        <v>0</v>
      </c>
      <c r="AE8" s="187"/>
      <c r="AF8" s="187"/>
      <c r="AG8" s="187"/>
      <c r="AH8" s="187"/>
      <c r="AI8" s="187">
        <f t="shared" si="9"/>
        <v>0</v>
      </c>
    </row>
    <row r="9" spans="2:35" ht="14" customHeight="1" x14ac:dyDescent="0.2">
      <c r="B9" s="47" t="s">
        <v>42</v>
      </c>
      <c r="C9" s="48" t="s">
        <v>43</v>
      </c>
      <c r="D9" s="49">
        <v>1</v>
      </c>
      <c r="E9" s="49" t="s">
        <v>37</v>
      </c>
      <c r="F9" s="124">
        <v>3073691.4075000002</v>
      </c>
      <c r="G9" s="124">
        <f t="shared" si="3"/>
        <v>3073691.4075000002</v>
      </c>
      <c r="I9" s="187">
        <f t="shared" si="4"/>
        <v>4184037.86</v>
      </c>
      <c r="J9" s="187">
        <v>4184037.86</v>
      </c>
      <c r="K9" s="187"/>
      <c r="L9" s="187"/>
      <c r="M9" s="187">
        <v>4184037.86</v>
      </c>
      <c r="N9" s="187"/>
      <c r="O9" s="187">
        <f t="shared" si="5"/>
        <v>4184037.86</v>
      </c>
      <c r="P9" s="187"/>
      <c r="Q9" s="187"/>
      <c r="R9" s="187"/>
      <c r="S9" s="187"/>
      <c r="T9" s="187">
        <f t="shared" si="6"/>
        <v>0</v>
      </c>
      <c r="U9" s="187"/>
      <c r="V9" s="187"/>
      <c r="W9" s="187"/>
      <c r="X9" s="187"/>
      <c r="Y9" s="187">
        <f t="shared" si="7"/>
        <v>0</v>
      </c>
      <c r="Z9" s="187"/>
      <c r="AA9" s="187"/>
      <c r="AB9" s="187"/>
      <c r="AC9" s="187"/>
      <c r="AD9" s="187">
        <f t="shared" si="8"/>
        <v>0</v>
      </c>
      <c r="AE9" s="187"/>
      <c r="AF9" s="187"/>
      <c r="AG9" s="187"/>
      <c r="AH9" s="187"/>
      <c r="AI9" s="187">
        <f t="shared" si="9"/>
        <v>0</v>
      </c>
    </row>
    <row r="10" spans="2:35" ht="14" customHeight="1" x14ac:dyDescent="0.2">
      <c r="B10" s="47" t="s">
        <v>44</v>
      </c>
      <c r="C10" s="48" t="s">
        <v>45</v>
      </c>
      <c r="D10" s="49">
        <v>1</v>
      </c>
      <c r="E10" s="49" t="s">
        <v>37</v>
      </c>
      <c r="F10" s="124">
        <v>3073691.4075000002</v>
      </c>
      <c r="G10" s="124">
        <f t="shared" si="3"/>
        <v>3073691.4075000002</v>
      </c>
      <c r="I10" s="187">
        <f t="shared" si="4"/>
        <v>9282</v>
      </c>
      <c r="J10" s="187">
        <v>9282</v>
      </c>
      <c r="K10" s="187"/>
      <c r="L10" s="187"/>
      <c r="M10" s="187">
        <v>9282</v>
      </c>
      <c r="N10" s="187"/>
      <c r="O10" s="187">
        <f t="shared" si="5"/>
        <v>9282</v>
      </c>
      <c r="P10" s="187"/>
      <c r="Q10" s="187"/>
      <c r="R10" s="187"/>
      <c r="S10" s="187"/>
      <c r="T10" s="187">
        <f t="shared" si="6"/>
        <v>0</v>
      </c>
      <c r="U10" s="187"/>
      <c r="V10" s="187"/>
      <c r="W10" s="187"/>
      <c r="X10" s="187"/>
      <c r="Y10" s="187">
        <f t="shared" si="7"/>
        <v>0</v>
      </c>
      <c r="Z10" s="187"/>
      <c r="AA10" s="187"/>
      <c r="AB10" s="187"/>
      <c r="AC10" s="187"/>
      <c r="AD10" s="187">
        <f t="shared" si="8"/>
        <v>0</v>
      </c>
      <c r="AE10" s="187"/>
      <c r="AF10" s="187"/>
      <c r="AG10" s="187"/>
      <c r="AH10" s="187"/>
      <c r="AI10" s="187">
        <f t="shared" si="9"/>
        <v>0</v>
      </c>
    </row>
    <row r="11" spans="2:35" ht="14" customHeight="1" x14ac:dyDescent="0.2">
      <c r="B11" s="47" t="s">
        <v>46</v>
      </c>
      <c r="C11" s="48" t="s">
        <v>47</v>
      </c>
      <c r="D11" s="49">
        <v>1</v>
      </c>
      <c r="E11" s="49" t="s">
        <v>37</v>
      </c>
      <c r="F11" s="124">
        <v>3512790.18</v>
      </c>
      <c r="G11" s="124">
        <f t="shared" si="3"/>
        <v>3512790.18</v>
      </c>
      <c r="I11" s="187">
        <f t="shared" si="4"/>
        <v>392285.52</v>
      </c>
      <c r="J11" s="187">
        <f>197018.52+195267</f>
        <v>392285.52</v>
      </c>
      <c r="K11" s="187"/>
      <c r="L11" s="187"/>
      <c r="M11" s="187">
        <f>197018.52+195267</f>
        <v>392285.52</v>
      </c>
      <c r="N11" s="187"/>
      <c r="O11" s="187">
        <f t="shared" si="5"/>
        <v>392285.52</v>
      </c>
      <c r="P11" s="187"/>
      <c r="Q11" s="187"/>
      <c r="R11" s="187"/>
      <c r="S11" s="187"/>
      <c r="T11" s="187">
        <f t="shared" si="6"/>
        <v>0</v>
      </c>
      <c r="U11" s="187"/>
      <c r="V11" s="187"/>
      <c r="W11" s="187"/>
      <c r="X11" s="187"/>
      <c r="Y11" s="187">
        <f t="shared" si="7"/>
        <v>0</v>
      </c>
      <c r="Z11" s="187"/>
      <c r="AA11" s="187"/>
      <c r="AB11" s="187"/>
      <c r="AC11" s="187"/>
      <c r="AD11" s="187">
        <f t="shared" si="8"/>
        <v>0</v>
      </c>
      <c r="AE11" s="187"/>
      <c r="AF11" s="187"/>
      <c r="AG11" s="187"/>
      <c r="AH11" s="187"/>
      <c r="AI11" s="187">
        <f t="shared" si="9"/>
        <v>0</v>
      </c>
    </row>
    <row r="12" spans="2:35" ht="14" customHeight="1" x14ac:dyDescent="0.2">
      <c r="B12" s="51" t="s">
        <v>48</v>
      </c>
      <c r="C12" s="52" t="s">
        <v>49</v>
      </c>
      <c r="D12" s="46"/>
      <c r="E12" s="46"/>
      <c r="F12" s="123"/>
      <c r="G12" s="123">
        <f>SUM(G13:G15)</f>
        <v>48300864.975000001</v>
      </c>
      <c r="I12" s="184">
        <f t="shared" ref="I12:AI12" si="10">SUM(I13:I15)</f>
        <v>0</v>
      </c>
      <c r="J12" s="184">
        <f t="shared" si="10"/>
        <v>48300863</v>
      </c>
      <c r="K12" s="184">
        <f t="shared" si="10"/>
        <v>0</v>
      </c>
      <c r="L12" s="184">
        <f t="shared" si="10"/>
        <v>0</v>
      </c>
      <c r="M12" s="184">
        <f t="shared" si="10"/>
        <v>0</v>
      </c>
      <c r="N12" s="184">
        <f t="shared" si="10"/>
        <v>0</v>
      </c>
      <c r="O12" s="184">
        <f t="shared" si="10"/>
        <v>0</v>
      </c>
      <c r="P12" s="184">
        <f t="shared" si="10"/>
        <v>0</v>
      </c>
      <c r="Q12" s="184">
        <f t="shared" si="10"/>
        <v>0</v>
      </c>
      <c r="R12" s="184">
        <f t="shared" si="10"/>
        <v>0</v>
      </c>
      <c r="S12" s="184">
        <f t="shared" si="10"/>
        <v>0</v>
      </c>
      <c r="T12" s="184">
        <f t="shared" si="10"/>
        <v>0</v>
      </c>
      <c r="U12" s="184">
        <f t="shared" si="10"/>
        <v>0</v>
      </c>
      <c r="V12" s="184">
        <f t="shared" si="10"/>
        <v>0</v>
      </c>
      <c r="W12" s="184">
        <f t="shared" si="10"/>
        <v>0</v>
      </c>
      <c r="X12" s="184">
        <f t="shared" si="10"/>
        <v>0</v>
      </c>
      <c r="Y12" s="184">
        <f t="shared" si="10"/>
        <v>0</v>
      </c>
      <c r="Z12" s="184">
        <f t="shared" si="10"/>
        <v>0</v>
      </c>
      <c r="AA12" s="184">
        <f t="shared" si="10"/>
        <v>0</v>
      </c>
      <c r="AB12" s="184">
        <f t="shared" si="10"/>
        <v>0</v>
      </c>
      <c r="AC12" s="184">
        <f t="shared" si="10"/>
        <v>0</v>
      </c>
      <c r="AD12" s="184">
        <f t="shared" si="10"/>
        <v>0</v>
      </c>
      <c r="AE12" s="184">
        <f t="shared" si="10"/>
        <v>0</v>
      </c>
      <c r="AF12" s="184">
        <f t="shared" si="10"/>
        <v>0</v>
      </c>
      <c r="AG12" s="184">
        <f t="shared" si="10"/>
        <v>0</v>
      </c>
      <c r="AH12" s="184">
        <f t="shared" si="10"/>
        <v>0</v>
      </c>
      <c r="AI12" s="184">
        <f t="shared" si="10"/>
        <v>0</v>
      </c>
    </row>
    <row r="13" spans="2:35" ht="14" customHeight="1" x14ac:dyDescent="0.2">
      <c r="B13" s="47" t="s">
        <v>50</v>
      </c>
      <c r="C13" s="48" t="s">
        <v>51</v>
      </c>
      <c r="D13" s="49">
        <v>1</v>
      </c>
      <c r="E13" s="49" t="s">
        <v>37</v>
      </c>
      <c r="F13" s="124">
        <v>7318312.875</v>
      </c>
      <c r="G13" s="124">
        <f t="shared" ref="G13:G15" si="11">+D13*F13</f>
        <v>7318312.875</v>
      </c>
      <c r="I13" s="187">
        <f t="shared" si="4"/>
        <v>0</v>
      </c>
      <c r="J13" s="187">
        <v>7318312</v>
      </c>
      <c r="K13" s="187"/>
      <c r="L13" s="187"/>
      <c r="M13" s="187"/>
      <c r="N13" s="187"/>
      <c r="O13" s="187">
        <f t="shared" ref="O13:O15" si="12">SUM(K13:N13)</f>
        <v>0</v>
      </c>
      <c r="P13" s="187"/>
      <c r="Q13" s="187"/>
      <c r="R13" s="187"/>
      <c r="S13" s="187"/>
      <c r="T13" s="187">
        <f t="shared" ref="T13:T15" si="13">SUM(P13:S13)</f>
        <v>0</v>
      </c>
      <c r="U13" s="187"/>
      <c r="V13" s="187"/>
      <c r="W13" s="187"/>
      <c r="X13" s="187"/>
      <c r="Y13" s="187">
        <f t="shared" ref="Y13:Y15" si="14">SUM(U13:X13)</f>
        <v>0</v>
      </c>
      <c r="Z13" s="187"/>
      <c r="AA13" s="187"/>
      <c r="AB13" s="187"/>
      <c r="AC13" s="187"/>
      <c r="AD13" s="187">
        <f t="shared" ref="AD13:AD15" si="15">SUM(Z13:AC13)</f>
        <v>0</v>
      </c>
      <c r="AE13" s="187"/>
      <c r="AF13" s="187"/>
      <c r="AG13" s="187"/>
      <c r="AH13" s="187"/>
      <c r="AI13" s="187">
        <f t="shared" ref="AI13:AI15" si="16">SUM(AE13:AH13)</f>
        <v>0</v>
      </c>
    </row>
    <row r="14" spans="2:35" ht="14" customHeight="1" x14ac:dyDescent="0.2">
      <c r="B14" s="47" t="s">
        <v>52</v>
      </c>
      <c r="C14" s="48" t="s">
        <v>53</v>
      </c>
      <c r="D14" s="49">
        <v>1</v>
      </c>
      <c r="E14" s="49" t="s">
        <v>37</v>
      </c>
      <c r="F14" s="124">
        <v>29273251.5</v>
      </c>
      <c r="G14" s="124">
        <f t="shared" si="11"/>
        <v>29273251.5</v>
      </c>
      <c r="I14" s="187">
        <f t="shared" si="4"/>
        <v>0</v>
      </c>
      <c r="J14" s="187">
        <v>29273251</v>
      </c>
      <c r="K14" s="187"/>
      <c r="L14" s="187"/>
      <c r="M14" s="187"/>
      <c r="N14" s="187"/>
      <c r="O14" s="187">
        <f t="shared" si="12"/>
        <v>0</v>
      </c>
      <c r="P14" s="187"/>
      <c r="Q14" s="187"/>
      <c r="R14" s="187"/>
      <c r="S14" s="187"/>
      <c r="T14" s="187">
        <f t="shared" si="13"/>
        <v>0</v>
      </c>
      <c r="U14" s="187"/>
      <c r="V14" s="187"/>
      <c r="W14" s="187"/>
      <c r="X14" s="187"/>
      <c r="Y14" s="187">
        <f t="shared" si="14"/>
        <v>0</v>
      </c>
      <c r="Z14" s="187"/>
      <c r="AA14" s="187"/>
      <c r="AB14" s="187"/>
      <c r="AC14" s="187"/>
      <c r="AD14" s="187">
        <f t="shared" si="15"/>
        <v>0</v>
      </c>
      <c r="AE14" s="187"/>
      <c r="AF14" s="187"/>
      <c r="AG14" s="187"/>
      <c r="AH14" s="187"/>
      <c r="AI14" s="187">
        <f t="shared" si="16"/>
        <v>0</v>
      </c>
    </row>
    <row r="15" spans="2:35" ht="14" customHeight="1" x14ac:dyDescent="0.2">
      <c r="B15" s="47" t="s">
        <v>54</v>
      </c>
      <c r="C15" s="48" t="s">
        <v>55</v>
      </c>
      <c r="D15" s="49">
        <v>1</v>
      </c>
      <c r="E15" s="49" t="s">
        <v>37</v>
      </c>
      <c r="F15" s="124">
        <v>11709300.6</v>
      </c>
      <c r="G15" s="124">
        <f t="shared" si="11"/>
        <v>11709300.6</v>
      </c>
      <c r="I15" s="187">
        <f t="shared" si="4"/>
        <v>0</v>
      </c>
      <c r="J15" s="187">
        <v>11709300</v>
      </c>
      <c r="K15" s="187"/>
      <c r="L15" s="187"/>
      <c r="M15" s="187"/>
      <c r="N15" s="187"/>
      <c r="O15" s="187">
        <f t="shared" si="12"/>
        <v>0</v>
      </c>
      <c r="P15" s="187"/>
      <c r="Q15" s="187"/>
      <c r="R15" s="187"/>
      <c r="S15" s="187"/>
      <c r="T15" s="187">
        <f t="shared" si="13"/>
        <v>0</v>
      </c>
      <c r="U15" s="187"/>
      <c r="V15" s="187"/>
      <c r="W15" s="187"/>
      <c r="X15" s="187"/>
      <c r="Y15" s="187">
        <f t="shared" si="14"/>
        <v>0</v>
      </c>
      <c r="Z15" s="187"/>
      <c r="AA15" s="187"/>
      <c r="AB15" s="187"/>
      <c r="AC15" s="187"/>
      <c r="AD15" s="187">
        <f t="shared" si="15"/>
        <v>0</v>
      </c>
      <c r="AE15" s="187"/>
      <c r="AF15" s="187"/>
      <c r="AG15" s="187"/>
      <c r="AH15" s="187"/>
      <c r="AI15" s="187">
        <f t="shared" si="16"/>
        <v>0</v>
      </c>
    </row>
    <row r="16" spans="2:35" ht="14" customHeight="1" x14ac:dyDescent="0.2">
      <c r="B16" s="51" t="s">
        <v>56</v>
      </c>
      <c r="C16" s="52" t="s">
        <v>57</v>
      </c>
      <c r="D16" s="46"/>
      <c r="E16" s="46"/>
      <c r="F16" s="123"/>
      <c r="G16" s="277">
        <f>G17</f>
        <v>24640000</v>
      </c>
      <c r="I16" s="190">
        <f>I17+I18</f>
        <v>22435886</v>
      </c>
      <c r="J16" s="190">
        <f t="shared" ref="J16:AI16" si="17">J17+J18</f>
        <v>11000000</v>
      </c>
      <c r="K16" s="190">
        <f t="shared" si="17"/>
        <v>0</v>
      </c>
      <c r="L16" s="190">
        <f t="shared" si="17"/>
        <v>0</v>
      </c>
      <c r="M16" s="190">
        <f t="shared" si="17"/>
        <v>0</v>
      </c>
      <c r="N16" s="190">
        <f t="shared" si="17"/>
        <v>6435886</v>
      </c>
      <c r="O16" s="190">
        <f t="shared" si="17"/>
        <v>6435886</v>
      </c>
      <c r="P16" s="190">
        <f t="shared" si="17"/>
        <v>0</v>
      </c>
      <c r="Q16" s="190">
        <f t="shared" si="17"/>
        <v>0</v>
      </c>
      <c r="R16" s="190">
        <f t="shared" si="17"/>
        <v>0</v>
      </c>
      <c r="S16" s="190">
        <f t="shared" si="17"/>
        <v>4000000</v>
      </c>
      <c r="T16" s="190">
        <f t="shared" si="17"/>
        <v>4000000</v>
      </c>
      <c r="U16" s="190">
        <f t="shared" si="17"/>
        <v>0</v>
      </c>
      <c r="V16" s="190">
        <f t="shared" si="17"/>
        <v>0</v>
      </c>
      <c r="W16" s="190">
        <f t="shared" si="17"/>
        <v>0</v>
      </c>
      <c r="X16" s="190">
        <f t="shared" si="17"/>
        <v>4000000</v>
      </c>
      <c r="Y16" s="190">
        <f t="shared" si="17"/>
        <v>4000000</v>
      </c>
      <c r="Z16" s="190">
        <f t="shared" si="17"/>
        <v>0</v>
      </c>
      <c r="AA16" s="190">
        <f t="shared" si="17"/>
        <v>0</v>
      </c>
      <c r="AB16" s="190">
        <f t="shared" si="17"/>
        <v>0</v>
      </c>
      <c r="AC16" s="190">
        <f t="shared" si="17"/>
        <v>4000000</v>
      </c>
      <c r="AD16" s="190">
        <f t="shared" si="17"/>
        <v>4000000</v>
      </c>
      <c r="AE16" s="190">
        <f t="shared" si="17"/>
        <v>0</v>
      </c>
      <c r="AF16" s="190">
        <f t="shared" si="17"/>
        <v>0</v>
      </c>
      <c r="AG16" s="190">
        <f t="shared" si="17"/>
        <v>0</v>
      </c>
      <c r="AH16" s="190">
        <f t="shared" si="17"/>
        <v>4000000</v>
      </c>
      <c r="AI16" s="190">
        <f t="shared" si="17"/>
        <v>4000000</v>
      </c>
    </row>
    <row r="17" spans="2:35" ht="14" customHeight="1" x14ac:dyDescent="0.2">
      <c r="B17" s="138" t="s">
        <v>58</v>
      </c>
      <c r="C17" s="139" t="s">
        <v>59</v>
      </c>
      <c r="D17" s="140">
        <v>4</v>
      </c>
      <c r="E17" s="140" t="s">
        <v>60</v>
      </c>
      <c r="F17" s="50">
        <v>6160000</v>
      </c>
      <c r="G17" s="50">
        <f t="shared" ref="G17" si="18">+D17*F17</f>
        <v>24640000</v>
      </c>
      <c r="H17" s="1"/>
      <c r="I17" s="187">
        <f t="shared" si="4"/>
        <v>2435886</v>
      </c>
      <c r="J17" s="187">
        <v>7000000</v>
      </c>
      <c r="K17" s="187"/>
      <c r="L17" s="187"/>
      <c r="M17" s="187"/>
      <c r="N17" s="187">
        <v>2435886</v>
      </c>
      <c r="O17" s="187">
        <f>SUM(K17:N17)</f>
        <v>2435886</v>
      </c>
      <c r="P17" s="187"/>
      <c r="Q17" s="187"/>
      <c r="R17" s="187"/>
      <c r="S17" s="187"/>
      <c r="T17" s="187">
        <f>SUM(P17:S17)</f>
        <v>0</v>
      </c>
      <c r="U17" s="187"/>
      <c r="V17" s="187"/>
      <c r="W17" s="187"/>
      <c r="X17" s="187"/>
      <c r="Y17" s="187">
        <f>SUM(U17:X17)</f>
        <v>0</v>
      </c>
      <c r="Z17" s="187"/>
      <c r="AA17" s="187"/>
      <c r="AB17" s="187"/>
      <c r="AC17" s="187"/>
      <c r="AD17" s="187">
        <f>SUM(Z17:AC17)</f>
        <v>0</v>
      </c>
      <c r="AE17" s="187"/>
      <c r="AF17" s="187"/>
      <c r="AG17" s="187"/>
      <c r="AH17" s="187"/>
      <c r="AI17" s="187">
        <f>SUM(AE17:AH17)</f>
        <v>0</v>
      </c>
    </row>
    <row r="18" spans="2:35" ht="14" customHeight="1" x14ac:dyDescent="0.2">
      <c r="B18" s="267" t="s">
        <v>185</v>
      </c>
      <c r="C18" s="268" t="s">
        <v>186</v>
      </c>
      <c r="D18" s="269"/>
      <c r="E18" s="269"/>
      <c r="F18" s="270"/>
      <c r="G18" s="270"/>
      <c r="H18" s="1"/>
      <c r="I18" s="187">
        <f t="shared" si="4"/>
        <v>20000000</v>
      </c>
      <c r="J18" s="271">
        <v>4000000</v>
      </c>
      <c r="K18" s="271"/>
      <c r="L18" s="271"/>
      <c r="M18" s="271"/>
      <c r="N18" s="272">
        <v>4000000</v>
      </c>
      <c r="O18" s="187">
        <f>SUM(K18:N18)</f>
        <v>4000000</v>
      </c>
      <c r="P18" s="271"/>
      <c r="Q18" s="271"/>
      <c r="R18" s="271"/>
      <c r="S18" s="272">
        <v>4000000</v>
      </c>
      <c r="T18" s="187">
        <f>SUM(P18:S18)</f>
        <v>4000000</v>
      </c>
      <c r="U18" s="271"/>
      <c r="V18" s="271"/>
      <c r="W18" s="271"/>
      <c r="X18" s="272">
        <v>4000000</v>
      </c>
      <c r="Y18" s="187">
        <f>SUM(U18:X18)</f>
        <v>4000000</v>
      </c>
      <c r="Z18" s="271"/>
      <c r="AA18" s="271"/>
      <c r="AB18" s="271"/>
      <c r="AC18" s="272">
        <v>4000000</v>
      </c>
      <c r="AD18" s="187">
        <f>SUM(Z18:AC18)</f>
        <v>4000000</v>
      </c>
      <c r="AE18" s="271"/>
      <c r="AF18" s="271"/>
      <c r="AG18" s="271"/>
      <c r="AH18" s="272">
        <v>4000000</v>
      </c>
      <c r="AI18" s="187">
        <f>SUM(AE18:AH18)</f>
        <v>4000000</v>
      </c>
    </row>
    <row r="19" spans="2:35" ht="14" customHeight="1" x14ac:dyDescent="0.2">
      <c r="B19" s="44" t="s">
        <v>61</v>
      </c>
      <c r="C19" s="45" t="s">
        <v>62</v>
      </c>
      <c r="D19" s="46"/>
      <c r="E19" s="46"/>
      <c r="F19" s="123"/>
      <c r="G19" s="123">
        <f>SUM(G20:G28)</f>
        <v>750834.39999999991</v>
      </c>
      <c r="I19" s="184">
        <f t="shared" ref="I19:AI19" si="19">SUM(I20:I28)</f>
        <v>0</v>
      </c>
      <c r="J19" s="184">
        <f t="shared" si="19"/>
        <v>661557</v>
      </c>
      <c r="K19" s="184">
        <f t="shared" si="19"/>
        <v>0</v>
      </c>
      <c r="L19" s="184">
        <f t="shared" si="19"/>
        <v>0</v>
      </c>
      <c r="M19" s="184">
        <f t="shared" si="19"/>
        <v>0</v>
      </c>
      <c r="N19" s="184">
        <f t="shared" si="19"/>
        <v>0</v>
      </c>
      <c r="O19" s="184">
        <f t="shared" si="19"/>
        <v>0</v>
      </c>
      <c r="P19" s="184">
        <f t="shared" si="19"/>
        <v>0</v>
      </c>
      <c r="Q19" s="184">
        <f t="shared" si="19"/>
        <v>0</v>
      </c>
      <c r="R19" s="184">
        <f t="shared" si="19"/>
        <v>0</v>
      </c>
      <c r="S19" s="184">
        <f t="shared" si="19"/>
        <v>0</v>
      </c>
      <c r="T19" s="184">
        <f t="shared" si="19"/>
        <v>0</v>
      </c>
      <c r="U19" s="184">
        <f t="shared" si="19"/>
        <v>0</v>
      </c>
      <c r="V19" s="184">
        <f t="shared" si="19"/>
        <v>0</v>
      </c>
      <c r="W19" s="184">
        <f t="shared" si="19"/>
        <v>0</v>
      </c>
      <c r="X19" s="184">
        <f t="shared" si="19"/>
        <v>0</v>
      </c>
      <c r="Y19" s="184">
        <f t="shared" si="19"/>
        <v>0</v>
      </c>
      <c r="Z19" s="184">
        <f t="shared" si="19"/>
        <v>0</v>
      </c>
      <c r="AA19" s="184">
        <f t="shared" si="19"/>
        <v>0</v>
      </c>
      <c r="AB19" s="184">
        <f t="shared" si="19"/>
        <v>0</v>
      </c>
      <c r="AC19" s="184">
        <f t="shared" si="19"/>
        <v>0</v>
      </c>
      <c r="AD19" s="184">
        <f t="shared" si="19"/>
        <v>0</v>
      </c>
      <c r="AE19" s="184">
        <f t="shared" si="19"/>
        <v>0</v>
      </c>
      <c r="AF19" s="184">
        <f t="shared" si="19"/>
        <v>0</v>
      </c>
      <c r="AG19" s="184">
        <f t="shared" si="19"/>
        <v>0</v>
      </c>
      <c r="AH19" s="184">
        <f t="shared" si="19"/>
        <v>0</v>
      </c>
      <c r="AI19" s="184">
        <f t="shared" si="19"/>
        <v>0</v>
      </c>
    </row>
    <row r="20" spans="2:35" ht="14" customHeight="1" x14ac:dyDescent="0.2">
      <c r="B20" s="53" t="s">
        <v>63</v>
      </c>
      <c r="C20" s="54" t="s">
        <v>64</v>
      </c>
      <c r="D20" s="55">
        <v>3</v>
      </c>
      <c r="E20" s="55" t="s">
        <v>65</v>
      </c>
      <c r="F20" s="126">
        <v>125384.29999999999</v>
      </c>
      <c r="G20" s="124">
        <f t="shared" ref="G20:G30" si="20">+D20*F20</f>
        <v>376152.89999999997</v>
      </c>
      <c r="I20" s="187">
        <f t="shared" si="4"/>
        <v>0</v>
      </c>
      <c r="J20" s="187">
        <v>150000</v>
      </c>
      <c r="K20" s="187"/>
      <c r="L20" s="187"/>
      <c r="M20" s="187"/>
      <c r="N20" s="187"/>
      <c r="O20" s="187">
        <f t="shared" ref="O20:O28" si="21">SUM(K20:N20)</f>
        <v>0</v>
      </c>
      <c r="P20" s="187"/>
      <c r="Q20" s="187"/>
      <c r="R20" s="187"/>
      <c r="S20" s="187"/>
      <c r="T20" s="187">
        <f t="shared" ref="T20:T28" si="22">SUM(P20:S20)</f>
        <v>0</v>
      </c>
      <c r="U20" s="187"/>
      <c r="V20" s="187"/>
      <c r="W20" s="187"/>
      <c r="X20" s="187"/>
      <c r="Y20" s="187">
        <f t="shared" ref="Y20:Y28" si="23">SUM(U20:X20)</f>
        <v>0</v>
      </c>
      <c r="Z20" s="187"/>
      <c r="AA20" s="187"/>
      <c r="AB20" s="187"/>
      <c r="AC20" s="187"/>
      <c r="AD20" s="187">
        <f t="shared" ref="AD20:AD28" si="24">SUM(Z20:AC20)</f>
        <v>0</v>
      </c>
      <c r="AE20" s="187"/>
      <c r="AF20" s="187"/>
      <c r="AG20" s="187"/>
      <c r="AH20" s="187"/>
      <c r="AI20" s="187">
        <f t="shared" ref="AI20:AI28" si="25">SUM(AE20:AH20)</f>
        <v>0</v>
      </c>
    </row>
    <row r="21" spans="2:35" ht="14" customHeight="1" x14ac:dyDescent="0.2">
      <c r="B21" s="53" t="s">
        <v>66</v>
      </c>
      <c r="C21" s="48" t="s">
        <v>67</v>
      </c>
      <c r="D21" s="49">
        <v>1</v>
      </c>
      <c r="E21" s="49" t="s">
        <v>65</v>
      </c>
      <c r="F21" s="124">
        <v>17867</v>
      </c>
      <c r="G21" s="124">
        <f t="shared" si="20"/>
        <v>17867</v>
      </c>
      <c r="I21" s="187">
        <f t="shared" si="4"/>
        <v>0</v>
      </c>
      <c r="J21" s="187">
        <v>17850</v>
      </c>
      <c r="K21" s="187"/>
      <c r="L21" s="187"/>
      <c r="M21" s="187"/>
      <c r="N21" s="187"/>
      <c r="O21" s="187">
        <f t="shared" si="21"/>
        <v>0</v>
      </c>
      <c r="P21" s="187"/>
      <c r="Q21" s="187"/>
      <c r="R21" s="187"/>
      <c r="S21" s="187"/>
      <c r="T21" s="187">
        <f t="shared" si="22"/>
        <v>0</v>
      </c>
      <c r="U21" s="187"/>
      <c r="V21" s="187"/>
      <c r="W21" s="187"/>
      <c r="X21" s="187"/>
      <c r="Y21" s="187">
        <f t="shared" si="23"/>
        <v>0</v>
      </c>
      <c r="Z21" s="187"/>
      <c r="AA21" s="187"/>
      <c r="AB21" s="187"/>
      <c r="AC21" s="187"/>
      <c r="AD21" s="187">
        <f t="shared" si="24"/>
        <v>0</v>
      </c>
      <c r="AE21" s="187"/>
      <c r="AF21" s="187"/>
      <c r="AG21" s="187"/>
      <c r="AH21" s="187"/>
      <c r="AI21" s="187">
        <f t="shared" si="25"/>
        <v>0</v>
      </c>
    </row>
    <row r="22" spans="2:35" ht="14" customHeight="1" x14ac:dyDescent="0.2">
      <c r="B22" s="53" t="s">
        <v>68</v>
      </c>
      <c r="C22" s="48" t="s">
        <v>69</v>
      </c>
      <c r="D22" s="49">
        <v>3</v>
      </c>
      <c r="E22" s="49" t="s">
        <v>65</v>
      </c>
      <c r="F22" s="124">
        <v>2627.5</v>
      </c>
      <c r="G22" s="124">
        <f t="shared" si="20"/>
        <v>7882.5</v>
      </c>
      <c r="I22" s="187">
        <f t="shared" si="4"/>
        <v>0</v>
      </c>
      <c r="J22" s="187">
        <v>4341</v>
      </c>
      <c r="K22" s="187"/>
      <c r="L22" s="187"/>
      <c r="M22" s="187"/>
      <c r="N22" s="187"/>
      <c r="O22" s="187">
        <f t="shared" si="21"/>
        <v>0</v>
      </c>
      <c r="P22" s="187"/>
      <c r="Q22" s="187"/>
      <c r="R22" s="187"/>
      <c r="S22" s="187"/>
      <c r="T22" s="187">
        <f t="shared" si="22"/>
        <v>0</v>
      </c>
      <c r="U22" s="187"/>
      <c r="V22" s="187"/>
      <c r="W22" s="187"/>
      <c r="X22" s="187"/>
      <c r="Y22" s="187">
        <f t="shared" si="23"/>
        <v>0</v>
      </c>
      <c r="Z22" s="187"/>
      <c r="AA22" s="187"/>
      <c r="AB22" s="187"/>
      <c r="AC22" s="187"/>
      <c r="AD22" s="187">
        <f t="shared" si="24"/>
        <v>0</v>
      </c>
      <c r="AE22" s="187"/>
      <c r="AF22" s="187"/>
      <c r="AG22" s="187"/>
      <c r="AH22" s="187"/>
      <c r="AI22" s="187">
        <f t="shared" si="25"/>
        <v>0</v>
      </c>
    </row>
    <row r="23" spans="2:35" ht="14" customHeight="1" x14ac:dyDescent="0.2">
      <c r="B23" s="53" t="s">
        <v>70</v>
      </c>
      <c r="C23" s="48" t="s">
        <v>71</v>
      </c>
      <c r="D23" s="49">
        <v>3</v>
      </c>
      <c r="E23" s="49" t="s">
        <v>65</v>
      </c>
      <c r="F23" s="124">
        <v>5780.5</v>
      </c>
      <c r="G23" s="124">
        <f t="shared" si="20"/>
        <v>17341.5</v>
      </c>
      <c r="I23" s="187">
        <f t="shared" si="4"/>
        <v>0</v>
      </c>
      <c r="J23" s="187">
        <v>23324</v>
      </c>
      <c r="K23" s="187"/>
      <c r="L23" s="187"/>
      <c r="M23" s="187"/>
      <c r="N23" s="187"/>
      <c r="O23" s="187">
        <f t="shared" si="21"/>
        <v>0</v>
      </c>
      <c r="P23" s="187"/>
      <c r="Q23" s="187"/>
      <c r="R23" s="187"/>
      <c r="S23" s="187"/>
      <c r="T23" s="187">
        <f t="shared" si="22"/>
        <v>0</v>
      </c>
      <c r="U23" s="187"/>
      <c r="V23" s="187"/>
      <c r="W23" s="187"/>
      <c r="X23" s="187"/>
      <c r="Y23" s="187">
        <f t="shared" si="23"/>
        <v>0</v>
      </c>
      <c r="Z23" s="187"/>
      <c r="AA23" s="187"/>
      <c r="AB23" s="187"/>
      <c r="AC23" s="187"/>
      <c r="AD23" s="187">
        <f t="shared" si="24"/>
        <v>0</v>
      </c>
      <c r="AE23" s="187"/>
      <c r="AF23" s="187"/>
      <c r="AG23" s="187"/>
      <c r="AH23" s="187"/>
      <c r="AI23" s="187">
        <f t="shared" si="25"/>
        <v>0</v>
      </c>
    </row>
    <row r="24" spans="2:35" ht="14" customHeight="1" x14ac:dyDescent="0.2">
      <c r="B24" s="53" t="s">
        <v>72</v>
      </c>
      <c r="C24" s="48" t="s">
        <v>73</v>
      </c>
      <c r="D24" s="49">
        <v>1</v>
      </c>
      <c r="E24" s="49" t="s">
        <v>65</v>
      </c>
      <c r="F24" s="124">
        <v>72519</v>
      </c>
      <c r="G24" s="124">
        <f t="shared" si="20"/>
        <v>72519</v>
      </c>
      <c r="I24" s="187">
        <f t="shared" si="4"/>
        <v>0</v>
      </c>
      <c r="J24" s="187">
        <v>66640</v>
      </c>
      <c r="K24" s="187"/>
      <c r="L24" s="187"/>
      <c r="M24" s="187"/>
      <c r="N24" s="187"/>
      <c r="O24" s="187">
        <f t="shared" si="21"/>
        <v>0</v>
      </c>
      <c r="P24" s="187"/>
      <c r="Q24" s="187"/>
      <c r="R24" s="187"/>
      <c r="S24" s="187"/>
      <c r="T24" s="187">
        <f t="shared" si="22"/>
        <v>0</v>
      </c>
      <c r="U24" s="187"/>
      <c r="V24" s="187"/>
      <c r="W24" s="187"/>
      <c r="X24" s="187"/>
      <c r="Y24" s="187">
        <f t="shared" si="23"/>
        <v>0</v>
      </c>
      <c r="Z24" s="187"/>
      <c r="AA24" s="187"/>
      <c r="AB24" s="187"/>
      <c r="AC24" s="187"/>
      <c r="AD24" s="187">
        <f t="shared" si="24"/>
        <v>0</v>
      </c>
      <c r="AE24" s="187"/>
      <c r="AF24" s="187"/>
      <c r="AG24" s="187"/>
      <c r="AH24" s="187"/>
      <c r="AI24" s="187">
        <f t="shared" si="25"/>
        <v>0</v>
      </c>
    </row>
    <row r="25" spans="2:35" ht="14" customHeight="1" x14ac:dyDescent="0.2">
      <c r="B25" s="53" t="s">
        <v>74</v>
      </c>
      <c r="C25" s="48" t="s">
        <v>75</v>
      </c>
      <c r="D25" s="49">
        <v>1</v>
      </c>
      <c r="E25" s="49" t="s">
        <v>65</v>
      </c>
      <c r="F25" s="124">
        <v>118762.99999999999</v>
      </c>
      <c r="G25" s="124">
        <f t="shared" si="20"/>
        <v>118762.99999999999</v>
      </c>
      <c r="I25" s="187">
        <f t="shared" si="4"/>
        <v>0</v>
      </c>
      <c r="J25" s="187">
        <v>116739</v>
      </c>
      <c r="K25" s="187"/>
      <c r="L25" s="187"/>
      <c r="M25" s="187"/>
      <c r="N25" s="187"/>
      <c r="O25" s="187">
        <f t="shared" si="21"/>
        <v>0</v>
      </c>
      <c r="P25" s="187"/>
      <c r="Q25" s="187"/>
      <c r="R25" s="187"/>
      <c r="S25" s="187"/>
      <c r="T25" s="187">
        <f t="shared" si="22"/>
        <v>0</v>
      </c>
      <c r="U25" s="187"/>
      <c r="V25" s="187"/>
      <c r="W25" s="187"/>
      <c r="X25" s="187"/>
      <c r="Y25" s="187">
        <f t="shared" si="23"/>
        <v>0</v>
      </c>
      <c r="Z25" s="187"/>
      <c r="AA25" s="187"/>
      <c r="AB25" s="187"/>
      <c r="AC25" s="187"/>
      <c r="AD25" s="187">
        <f t="shared" si="24"/>
        <v>0</v>
      </c>
      <c r="AE25" s="187"/>
      <c r="AF25" s="187"/>
      <c r="AG25" s="187"/>
      <c r="AH25" s="187"/>
      <c r="AI25" s="187">
        <f t="shared" si="25"/>
        <v>0</v>
      </c>
    </row>
    <row r="26" spans="2:35" ht="14" customHeight="1" x14ac:dyDescent="0.2">
      <c r="B26" s="53" t="s">
        <v>76</v>
      </c>
      <c r="C26" s="48" t="s">
        <v>77</v>
      </c>
      <c r="D26" s="49">
        <v>3</v>
      </c>
      <c r="E26" s="49" t="s">
        <v>65</v>
      </c>
      <c r="F26" s="124">
        <v>3678.4999999999995</v>
      </c>
      <c r="G26" s="124">
        <f t="shared" si="20"/>
        <v>11035.499999999998</v>
      </c>
      <c r="I26" s="187">
        <f t="shared" si="4"/>
        <v>0</v>
      </c>
      <c r="J26" s="187">
        <v>14756</v>
      </c>
      <c r="K26" s="187"/>
      <c r="L26" s="187"/>
      <c r="M26" s="187"/>
      <c r="N26" s="187"/>
      <c r="O26" s="187">
        <f t="shared" si="21"/>
        <v>0</v>
      </c>
      <c r="P26" s="187"/>
      <c r="Q26" s="187"/>
      <c r="R26" s="187"/>
      <c r="S26" s="187"/>
      <c r="T26" s="187">
        <f t="shared" si="22"/>
        <v>0</v>
      </c>
      <c r="U26" s="187"/>
      <c r="V26" s="187"/>
      <c r="W26" s="187"/>
      <c r="X26" s="187"/>
      <c r="Y26" s="187">
        <f t="shared" si="23"/>
        <v>0</v>
      </c>
      <c r="Z26" s="187"/>
      <c r="AA26" s="187"/>
      <c r="AB26" s="187"/>
      <c r="AC26" s="187"/>
      <c r="AD26" s="187">
        <f t="shared" si="24"/>
        <v>0</v>
      </c>
      <c r="AE26" s="187"/>
      <c r="AF26" s="187"/>
      <c r="AG26" s="187"/>
      <c r="AH26" s="187"/>
      <c r="AI26" s="187">
        <f t="shared" si="25"/>
        <v>0</v>
      </c>
    </row>
    <row r="27" spans="2:35" ht="14" customHeight="1" x14ac:dyDescent="0.2">
      <c r="B27" s="53" t="s">
        <v>78</v>
      </c>
      <c r="C27" s="48" t="s">
        <v>79</v>
      </c>
      <c r="D27" s="49">
        <v>1</v>
      </c>
      <c r="E27" s="49" t="s">
        <v>65</v>
      </c>
      <c r="F27" s="124">
        <v>78825</v>
      </c>
      <c r="G27" s="124">
        <f t="shared" si="20"/>
        <v>78825</v>
      </c>
      <c r="I27" s="187">
        <f t="shared" si="4"/>
        <v>0</v>
      </c>
      <c r="J27" s="187">
        <v>81037</v>
      </c>
      <c r="K27" s="187"/>
      <c r="L27" s="187"/>
      <c r="M27" s="187"/>
      <c r="N27" s="187"/>
      <c r="O27" s="187">
        <f t="shared" si="21"/>
        <v>0</v>
      </c>
      <c r="P27" s="187"/>
      <c r="Q27" s="187"/>
      <c r="R27" s="187"/>
      <c r="S27" s="187"/>
      <c r="T27" s="187">
        <f t="shared" si="22"/>
        <v>0</v>
      </c>
      <c r="U27" s="187"/>
      <c r="V27" s="187"/>
      <c r="W27" s="187"/>
      <c r="X27" s="187"/>
      <c r="Y27" s="187">
        <f t="shared" si="23"/>
        <v>0</v>
      </c>
      <c r="Z27" s="187"/>
      <c r="AA27" s="187"/>
      <c r="AB27" s="187"/>
      <c r="AC27" s="187"/>
      <c r="AD27" s="187">
        <f t="shared" si="24"/>
        <v>0</v>
      </c>
      <c r="AE27" s="187"/>
      <c r="AF27" s="187"/>
      <c r="AG27" s="187"/>
      <c r="AH27" s="187"/>
      <c r="AI27" s="187">
        <f t="shared" si="25"/>
        <v>0</v>
      </c>
    </row>
    <row r="28" spans="2:35" ht="14" customHeight="1" x14ac:dyDescent="0.2">
      <c r="B28" s="53" t="s">
        <v>80</v>
      </c>
      <c r="C28" s="48" t="s">
        <v>81</v>
      </c>
      <c r="D28" s="49">
        <v>1</v>
      </c>
      <c r="E28" s="49" t="s">
        <v>65</v>
      </c>
      <c r="F28" s="124">
        <v>50448</v>
      </c>
      <c r="G28" s="124">
        <f t="shared" si="20"/>
        <v>50448</v>
      </c>
      <c r="I28" s="187">
        <f t="shared" si="4"/>
        <v>0</v>
      </c>
      <c r="J28" s="187">
        <v>186870</v>
      </c>
      <c r="K28" s="187"/>
      <c r="L28" s="187"/>
      <c r="M28" s="187"/>
      <c r="N28" s="187"/>
      <c r="O28" s="187">
        <f t="shared" si="21"/>
        <v>0</v>
      </c>
      <c r="P28" s="187"/>
      <c r="Q28" s="187"/>
      <c r="R28" s="187"/>
      <c r="S28" s="187"/>
      <c r="T28" s="187">
        <f t="shared" si="22"/>
        <v>0</v>
      </c>
      <c r="U28" s="187"/>
      <c r="V28" s="187"/>
      <c r="W28" s="187"/>
      <c r="X28" s="187"/>
      <c r="Y28" s="187">
        <f t="shared" si="23"/>
        <v>0</v>
      </c>
      <c r="Z28" s="187"/>
      <c r="AA28" s="187"/>
      <c r="AB28" s="187"/>
      <c r="AC28" s="187"/>
      <c r="AD28" s="187">
        <f t="shared" si="24"/>
        <v>0</v>
      </c>
      <c r="AE28" s="187"/>
      <c r="AF28" s="187"/>
      <c r="AG28" s="187"/>
      <c r="AH28" s="187"/>
      <c r="AI28" s="187">
        <f t="shared" si="25"/>
        <v>0</v>
      </c>
    </row>
    <row r="29" spans="2:35" ht="14" customHeight="1" x14ac:dyDescent="0.2">
      <c r="B29" s="44" t="s">
        <v>82</v>
      </c>
      <c r="C29" s="45" t="s">
        <v>83</v>
      </c>
      <c r="D29" s="46">
        <f>SUM(D30)</f>
        <v>1</v>
      </c>
      <c r="E29" s="46">
        <f t="shared" ref="E29:AI29" si="26">SUM(E30)</f>
        <v>0</v>
      </c>
      <c r="F29" s="123">
        <f t="shared" si="26"/>
        <v>58546503</v>
      </c>
      <c r="G29" s="123">
        <f t="shared" si="26"/>
        <v>58546503</v>
      </c>
      <c r="I29" s="184">
        <f t="shared" ref="I29" si="27">SUM(I30)</f>
        <v>58546503</v>
      </c>
      <c r="J29" s="184">
        <f t="shared" si="26"/>
        <v>58546503</v>
      </c>
      <c r="K29" s="184">
        <f t="shared" si="26"/>
        <v>0</v>
      </c>
      <c r="L29" s="184">
        <f t="shared" si="26"/>
        <v>0</v>
      </c>
      <c r="M29" s="184">
        <f t="shared" si="26"/>
        <v>58546503</v>
      </c>
      <c r="N29" s="184">
        <f t="shared" si="26"/>
        <v>0</v>
      </c>
      <c r="O29" s="184">
        <f t="shared" si="26"/>
        <v>58546503</v>
      </c>
      <c r="P29" s="184">
        <f t="shared" si="26"/>
        <v>0</v>
      </c>
      <c r="Q29" s="184">
        <f t="shared" si="26"/>
        <v>0</v>
      </c>
      <c r="R29" s="184">
        <f t="shared" si="26"/>
        <v>0</v>
      </c>
      <c r="S29" s="184">
        <f t="shared" si="26"/>
        <v>0</v>
      </c>
      <c r="T29" s="184">
        <f t="shared" si="26"/>
        <v>0</v>
      </c>
      <c r="U29" s="184">
        <f t="shared" si="26"/>
        <v>0</v>
      </c>
      <c r="V29" s="184">
        <f t="shared" si="26"/>
        <v>0</v>
      </c>
      <c r="W29" s="184">
        <f t="shared" si="26"/>
        <v>0</v>
      </c>
      <c r="X29" s="184">
        <f t="shared" si="26"/>
        <v>0</v>
      </c>
      <c r="Y29" s="184">
        <f t="shared" si="26"/>
        <v>0</v>
      </c>
      <c r="Z29" s="184">
        <f t="shared" si="26"/>
        <v>0</v>
      </c>
      <c r="AA29" s="184">
        <f t="shared" si="26"/>
        <v>0</v>
      </c>
      <c r="AB29" s="184">
        <f t="shared" si="26"/>
        <v>0</v>
      </c>
      <c r="AC29" s="184">
        <f t="shared" si="26"/>
        <v>0</v>
      </c>
      <c r="AD29" s="184">
        <f t="shared" si="26"/>
        <v>0</v>
      </c>
      <c r="AE29" s="184">
        <f t="shared" si="26"/>
        <v>0</v>
      </c>
      <c r="AF29" s="184">
        <f t="shared" si="26"/>
        <v>0</v>
      </c>
      <c r="AG29" s="184">
        <f t="shared" si="26"/>
        <v>0</v>
      </c>
      <c r="AH29" s="184">
        <f t="shared" si="26"/>
        <v>0</v>
      </c>
      <c r="AI29" s="184">
        <f t="shared" si="26"/>
        <v>0</v>
      </c>
    </row>
    <row r="30" spans="2:35" ht="14" customHeight="1" x14ac:dyDescent="0.2">
      <c r="B30" s="47" t="s">
        <v>84</v>
      </c>
      <c r="C30" s="48" t="s">
        <v>85</v>
      </c>
      <c r="D30" s="49">
        <v>1</v>
      </c>
      <c r="E30" s="49" t="s">
        <v>37</v>
      </c>
      <c r="F30" s="124">
        <v>58546503</v>
      </c>
      <c r="G30" s="124">
        <f t="shared" si="20"/>
        <v>58546503</v>
      </c>
      <c r="I30" s="187">
        <f t="shared" si="4"/>
        <v>58546503</v>
      </c>
      <c r="J30" s="187">
        <v>58546503</v>
      </c>
      <c r="K30" s="187"/>
      <c r="L30" s="187"/>
      <c r="M30" s="187">
        <v>58546503</v>
      </c>
      <c r="N30" s="187"/>
      <c r="O30" s="187">
        <f>SUM(K30:N30)</f>
        <v>58546503</v>
      </c>
      <c r="P30" s="187"/>
      <c r="Q30" s="187"/>
      <c r="R30" s="187"/>
      <c r="S30" s="187"/>
      <c r="T30" s="187">
        <f>SUM(P30:S30)</f>
        <v>0</v>
      </c>
      <c r="U30" s="187"/>
      <c r="V30" s="187"/>
      <c r="W30" s="187"/>
      <c r="X30" s="187"/>
      <c r="Y30" s="187">
        <f>SUM(U30:X30)</f>
        <v>0</v>
      </c>
      <c r="Z30" s="187"/>
      <c r="AA30" s="187"/>
      <c r="AB30" s="187"/>
      <c r="AC30" s="187"/>
      <c r="AD30" s="187">
        <f>SUM(Z30:AC30)</f>
        <v>0</v>
      </c>
      <c r="AE30" s="187"/>
      <c r="AF30" s="187"/>
      <c r="AG30" s="187"/>
      <c r="AH30" s="187"/>
      <c r="AI30" s="187">
        <f>SUM(AE30:AH30)</f>
        <v>0</v>
      </c>
    </row>
    <row r="31" spans="2:35" ht="14" customHeight="1" x14ac:dyDescent="0.2">
      <c r="B31" s="41">
        <v>3</v>
      </c>
      <c r="C31" s="56" t="s">
        <v>86</v>
      </c>
      <c r="D31" s="57"/>
      <c r="E31" s="57"/>
      <c r="F31" s="122"/>
      <c r="G31" s="122">
        <f>G32</f>
        <v>0</v>
      </c>
      <c r="I31" s="180">
        <f t="shared" ref="I31:AI31" si="28">I32</f>
        <v>1497410</v>
      </c>
      <c r="J31" s="180">
        <f t="shared" si="28"/>
        <v>4200000</v>
      </c>
      <c r="K31" s="180">
        <f t="shared" si="28"/>
        <v>0</v>
      </c>
      <c r="L31" s="180">
        <f t="shared" si="28"/>
        <v>0</v>
      </c>
      <c r="M31" s="180">
        <f t="shared" si="28"/>
        <v>0</v>
      </c>
      <c r="N31" s="180">
        <f t="shared" si="28"/>
        <v>0</v>
      </c>
      <c r="O31" s="180">
        <f t="shared" si="28"/>
        <v>0</v>
      </c>
      <c r="P31" s="180">
        <f t="shared" si="28"/>
        <v>0</v>
      </c>
      <c r="Q31" s="180">
        <f t="shared" si="28"/>
        <v>1497410</v>
      </c>
      <c r="R31" s="180">
        <f t="shared" si="28"/>
        <v>0</v>
      </c>
      <c r="S31" s="180">
        <f t="shared" si="28"/>
        <v>0</v>
      </c>
      <c r="T31" s="180">
        <f t="shared" si="28"/>
        <v>1497410</v>
      </c>
      <c r="U31" s="180">
        <f t="shared" si="28"/>
        <v>0</v>
      </c>
      <c r="V31" s="180">
        <f t="shared" si="28"/>
        <v>0</v>
      </c>
      <c r="W31" s="180">
        <f t="shared" si="28"/>
        <v>0</v>
      </c>
      <c r="X31" s="180">
        <f t="shared" si="28"/>
        <v>0</v>
      </c>
      <c r="Y31" s="180">
        <f t="shared" si="28"/>
        <v>0</v>
      </c>
      <c r="Z31" s="180">
        <f t="shared" si="28"/>
        <v>0</v>
      </c>
      <c r="AA31" s="180">
        <f t="shared" si="28"/>
        <v>0</v>
      </c>
      <c r="AB31" s="180">
        <f t="shared" si="28"/>
        <v>0</v>
      </c>
      <c r="AC31" s="180">
        <f t="shared" si="28"/>
        <v>0</v>
      </c>
      <c r="AD31" s="180">
        <f t="shared" si="28"/>
        <v>0</v>
      </c>
      <c r="AE31" s="180">
        <f t="shared" si="28"/>
        <v>0</v>
      </c>
      <c r="AF31" s="180">
        <f t="shared" si="28"/>
        <v>0</v>
      </c>
      <c r="AG31" s="180">
        <f t="shared" si="28"/>
        <v>0</v>
      </c>
      <c r="AH31" s="180">
        <f t="shared" si="28"/>
        <v>0</v>
      </c>
      <c r="AI31" s="180">
        <f t="shared" si="28"/>
        <v>0</v>
      </c>
    </row>
    <row r="32" spans="2:35" ht="14" customHeight="1" x14ac:dyDescent="0.2">
      <c r="B32" s="44" t="s">
        <v>87</v>
      </c>
      <c r="C32" s="45" t="s">
        <v>86</v>
      </c>
      <c r="D32" s="46"/>
      <c r="E32" s="46"/>
      <c r="F32" s="123"/>
      <c r="G32" s="123">
        <f>SUM(G33:G36)</f>
        <v>0</v>
      </c>
      <c r="I32" s="184">
        <f t="shared" ref="I32:AI32" si="29">SUM(I33:I36)</f>
        <v>1497410</v>
      </c>
      <c r="J32" s="184">
        <f t="shared" si="29"/>
        <v>4200000</v>
      </c>
      <c r="K32" s="184">
        <f t="shared" si="29"/>
        <v>0</v>
      </c>
      <c r="L32" s="184">
        <f t="shared" si="29"/>
        <v>0</v>
      </c>
      <c r="M32" s="184">
        <f t="shared" si="29"/>
        <v>0</v>
      </c>
      <c r="N32" s="184">
        <f t="shared" si="29"/>
        <v>0</v>
      </c>
      <c r="O32" s="184">
        <f t="shared" si="29"/>
        <v>0</v>
      </c>
      <c r="P32" s="184">
        <f t="shared" si="29"/>
        <v>0</v>
      </c>
      <c r="Q32" s="184">
        <f t="shared" si="29"/>
        <v>1497410</v>
      </c>
      <c r="R32" s="184">
        <f t="shared" si="29"/>
        <v>0</v>
      </c>
      <c r="S32" s="184">
        <f t="shared" si="29"/>
        <v>0</v>
      </c>
      <c r="T32" s="184">
        <f t="shared" si="29"/>
        <v>1497410</v>
      </c>
      <c r="U32" s="184">
        <f t="shared" si="29"/>
        <v>0</v>
      </c>
      <c r="V32" s="184">
        <f t="shared" si="29"/>
        <v>0</v>
      </c>
      <c r="W32" s="184">
        <f t="shared" si="29"/>
        <v>0</v>
      </c>
      <c r="X32" s="184">
        <f t="shared" si="29"/>
        <v>0</v>
      </c>
      <c r="Y32" s="184">
        <f t="shared" si="29"/>
        <v>0</v>
      </c>
      <c r="Z32" s="184">
        <f t="shared" si="29"/>
        <v>0</v>
      </c>
      <c r="AA32" s="184">
        <f t="shared" si="29"/>
        <v>0</v>
      </c>
      <c r="AB32" s="184">
        <f t="shared" si="29"/>
        <v>0</v>
      </c>
      <c r="AC32" s="184">
        <f t="shared" si="29"/>
        <v>0</v>
      </c>
      <c r="AD32" s="184">
        <f t="shared" si="29"/>
        <v>0</v>
      </c>
      <c r="AE32" s="184">
        <f t="shared" si="29"/>
        <v>0</v>
      </c>
      <c r="AF32" s="184">
        <f t="shared" si="29"/>
        <v>0</v>
      </c>
      <c r="AG32" s="184">
        <f t="shared" si="29"/>
        <v>0</v>
      </c>
      <c r="AH32" s="184">
        <f t="shared" si="29"/>
        <v>0</v>
      </c>
      <c r="AI32" s="184">
        <f t="shared" si="29"/>
        <v>0</v>
      </c>
    </row>
    <row r="33" spans="2:35" ht="14" customHeight="1" x14ac:dyDescent="0.2">
      <c r="B33" s="47" t="s">
        <v>88</v>
      </c>
      <c r="C33" s="48" t="s">
        <v>89</v>
      </c>
      <c r="D33" s="49"/>
      <c r="E33" s="49"/>
      <c r="F33" s="124"/>
      <c r="G33" s="124"/>
      <c r="I33" s="187">
        <f t="shared" ref="I33:I36" si="30">O33+T33+Y33+AD33+AI33</f>
        <v>500000</v>
      </c>
      <c r="J33" s="187">
        <v>1237600</v>
      </c>
      <c r="K33" s="187"/>
      <c r="L33" s="187"/>
      <c r="M33" s="187"/>
      <c r="N33" s="187"/>
      <c r="O33" s="187">
        <f t="shared" ref="O33:O36" si="31">SUM(K33:N33)</f>
        <v>0</v>
      </c>
      <c r="P33" s="187"/>
      <c r="Q33" s="187">
        <v>500000</v>
      </c>
      <c r="R33" s="187"/>
      <c r="S33" s="187"/>
      <c r="T33" s="187">
        <f t="shared" ref="T33:T36" si="32">SUM(P33:S33)</f>
        <v>500000</v>
      </c>
      <c r="U33" s="187"/>
      <c r="V33" s="187"/>
      <c r="W33" s="187"/>
      <c r="X33" s="187"/>
      <c r="Y33" s="187">
        <f t="shared" ref="Y33:Y36" si="33">SUM(U33:X33)</f>
        <v>0</v>
      </c>
      <c r="Z33" s="187"/>
      <c r="AA33" s="187"/>
      <c r="AB33" s="187"/>
      <c r="AC33" s="187"/>
      <c r="AD33" s="187">
        <f t="shared" ref="AD33:AD36" si="34">SUM(Z33:AC33)</f>
        <v>0</v>
      </c>
      <c r="AE33" s="187"/>
      <c r="AF33" s="187"/>
      <c r="AG33" s="187"/>
      <c r="AH33" s="187"/>
      <c r="AI33" s="187">
        <f t="shared" ref="AI33:AI36" si="35">SUM(AE33:AH33)</f>
        <v>0</v>
      </c>
    </row>
    <row r="34" spans="2:35" ht="14" customHeight="1" x14ac:dyDescent="0.2">
      <c r="B34" s="47" t="s">
        <v>90</v>
      </c>
      <c r="C34" s="48" t="s">
        <v>91</v>
      </c>
      <c r="D34" s="49"/>
      <c r="E34" s="49"/>
      <c r="F34" s="124"/>
      <c r="G34" s="124"/>
      <c r="I34" s="187">
        <f t="shared" si="30"/>
        <v>147900</v>
      </c>
      <c r="J34" s="187">
        <v>292400</v>
      </c>
      <c r="K34" s="187"/>
      <c r="L34" s="187"/>
      <c r="M34" s="187"/>
      <c r="N34" s="187"/>
      <c r="O34" s="187">
        <f t="shared" si="31"/>
        <v>0</v>
      </c>
      <c r="P34" s="187"/>
      <c r="Q34" s="187">
        <v>147900</v>
      </c>
      <c r="R34" s="187"/>
      <c r="S34" s="187"/>
      <c r="T34" s="187">
        <f t="shared" si="32"/>
        <v>147900</v>
      </c>
      <c r="U34" s="187"/>
      <c r="V34" s="187"/>
      <c r="W34" s="187"/>
      <c r="X34" s="187"/>
      <c r="Y34" s="187">
        <f t="shared" si="33"/>
        <v>0</v>
      </c>
      <c r="Z34" s="187"/>
      <c r="AA34" s="187"/>
      <c r="AB34" s="187"/>
      <c r="AC34" s="187"/>
      <c r="AD34" s="187">
        <f t="shared" si="34"/>
        <v>0</v>
      </c>
      <c r="AE34" s="187"/>
      <c r="AF34" s="187"/>
      <c r="AG34" s="187"/>
      <c r="AH34" s="187"/>
      <c r="AI34" s="187">
        <f t="shared" si="35"/>
        <v>0</v>
      </c>
    </row>
    <row r="35" spans="2:35" ht="14" customHeight="1" x14ac:dyDescent="0.2">
      <c r="B35" s="47" t="s">
        <v>92</v>
      </c>
      <c r="C35" s="48" t="s">
        <v>93</v>
      </c>
      <c r="D35" s="49"/>
      <c r="E35" s="49"/>
      <c r="F35" s="124"/>
      <c r="G35" s="124"/>
      <c r="I35" s="187">
        <f t="shared" si="30"/>
        <v>609510</v>
      </c>
      <c r="J35" s="187">
        <v>2190000</v>
      </c>
      <c r="K35" s="187"/>
      <c r="L35" s="187"/>
      <c r="M35" s="187"/>
      <c r="N35" s="187"/>
      <c r="O35" s="187">
        <f t="shared" si="31"/>
        <v>0</v>
      </c>
      <c r="P35" s="187"/>
      <c r="Q35" s="187">
        <v>609510</v>
      </c>
      <c r="R35" s="187"/>
      <c r="S35" s="187"/>
      <c r="T35" s="187">
        <f t="shared" si="32"/>
        <v>609510</v>
      </c>
      <c r="U35" s="187"/>
      <c r="V35" s="187"/>
      <c r="W35" s="187"/>
      <c r="X35" s="187"/>
      <c r="Y35" s="187">
        <f t="shared" si="33"/>
        <v>0</v>
      </c>
      <c r="Z35" s="187"/>
      <c r="AA35" s="187"/>
      <c r="AB35" s="187"/>
      <c r="AC35" s="187"/>
      <c r="AD35" s="187">
        <f t="shared" si="34"/>
        <v>0</v>
      </c>
      <c r="AE35" s="187"/>
      <c r="AF35" s="187"/>
      <c r="AG35" s="187"/>
      <c r="AH35" s="187"/>
      <c r="AI35" s="187">
        <f t="shared" si="35"/>
        <v>0</v>
      </c>
    </row>
    <row r="36" spans="2:35" ht="14" customHeight="1" x14ac:dyDescent="0.2">
      <c r="B36" s="47" t="s">
        <v>94</v>
      </c>
      <c r="C36" s="48" t="s">
        <v>95</v>
      </c>
      <c r="D36" s="49"/>
      <c r="E36" s="49"/>
      <c r="F36" s="124"/>
      <c r="G36" s="124"/>
      <c r="I36" s="187">
        <f t="shared" si="30"/>
        <v>240000</v>
      </c>
      <c r="J36" s="187">
        <v>480000</v>
      </c>
      <c r="K36" s="187"/>
      <c r="L36" s="187"/>
      <c r="M36" s="187"/>
      <c r="N36" s="187"/>
      <c r="O36" s="187">
        <f t="shared" si="31"/>
        <v>0</v>
      </c>
      <c r="P36" s="187"/>
      <c r="Q36" s="187">
        <v>240000</v>
      </c>
      <c r="R36" s="187"/>
      <c r="S36" s="187"/>
      <c r="T36" s="187">
        <f t="shared" si="32"/>
        <v>240000</v>
      </c>
      <c r="U36" s="187"/>
      <c r="V36" s="187"/>
      <c r="W36" s="187"/>
      <c r="X36" s="187"/>
      <c r="Y36" s="187">
        <f t="shared" si="33"/>
        <v>0</v>
      </c>
      <c r="Z36" s="187"/>
      <c r="AA36" s="187"/>
      <c r="AB36" s="187"/>
      <c r="AC36" s="187"/>
      <c r="AD36" s="187">
        <f t="shared" si="34"/>
        <v>0</v>
      </c>
      <c r="AE36" s="187"/>
      <c r="AF36" s="187"/>
      <c r="AG36" s="187"/>
      <c r="AH36" s="187"/>
      <c r="AI36" s="187">
        <f t="shared" si="35"/>
        <v>0</v>
      </c>
    </row>
    <row r="37" spans="2:35" ht="14" customHeight="1" x14ac:dyDescent="0.2">
      <c r="B37" s="41">
        <v>4</v>
      </c>
      <c r="C37" s="56" t="s">
        <v>96</v>
      </c>
      <c r="D37" s="57"/>
      <c r="E37" s="57"/>
      <c r="F37" s="122"/>
      <c r="G37" s="122">
        <f>G38</f>
        <v>0</v>
      </c>
      <c r="I37" s="180">
        <f t="shared" ref="I37:X38" si="36">I38</f>
        <v>0</v>
      </c>
      <c r="J37" s="180">
        <f t="shared" si="36"/>
        <v>11448635</v>
      </c>
      <c r="K37" s="180">
        <f t="shared" si="36"/>
        <v>0</v>
      </c>
      <c r="L37" s="180">
        <f t="shared" si="36"/>
        <v>0</v>
      </c>
      <c r="M37" s="180">
        <f t="shared" si="36"/>
        <v>0</v>
      </c>
      <c r="N37" s="180">
        <f t="shared" si="36"/>
        <v>0</v>
      </c>
      <c r="O37" s="180">
        <f t="shared" si="36"/>
        <v>0</v>
      </c>
      <c r="P37" s="180">
        <f t="shared" si="36"/>
        <v>0</v>
      </c>
      <c r="Q37" s="180">
        <f t="shared" si="36"/>
        <v>0</v>
      </c>
      <c r="R37" s="180">
        <f t="shared" si="36"/>
        <v>0</v>
      </c>
      <c r="S37" s="180">
        <f t="shared" si="36"/>
        <v>0</v>
      </c>
      <c r="T37" s="180">
        <f t="shared" si="36"/>
        <v>0</v>
      </c>
      <c r="U37" s="180">
        <f t="shared" si="36"/>
        <v>0</v>
      </c>
      <c r="V37" s="180">
        <f t="shared" si="36"/>
        <v>0</v>
      </c>
      <c r="W37" s="180">
        <f t="shared" si="36"/>
        <v>0</v>
      </c>
      <c r="X37" s="180">
        <f t="shared" si="36"/>
        <v>0</v>
      </c>
      <c r="Y37" s="180">
        <f t="shared" ref="Y37:AI38" si="37">Y38</f>
        <v>0</v>
      </c>
      <c r="Z37" s="180">
        <f t="shared" si="37"/>
        <v>0</v>
      </c>
      <c r="AA37" s="180">
        <f t="shared" si="37"/>
        <v>0</v>
      </c>
      <c r="AB37" s="180">
        <f t="shared" si="37"/>
        <v>0</v>
      </c>
      <c r="AC37" s="180">
        <f t="shared" si="37"/>
        <v>0</v>
      </c>
      <c r="AD37" s="180">
        <f t="shared" si="37"/>
        <v>0</v>
      </c>
      <c r="AE37" s="180">
        <f t="shared" si="37"/>
        <v>0</v>
      </c>
      <c r="AF37" s="180">
        <f t="shared" si="37"/>
        <v>0</v>
      </c>
      <c r="AG37" s="180">
        <f t="shared" si="37"/>
        <v>0</v>
      </c>
      <c r="AH37" s="180">
        <f t="shared" si="37"/>
        <v>0</v>
      </c>
      <c r="AI37" s="180">
        <f t="shared" si="37"/>
        <v>0</v>
      </c>
    </row>
    <row r="38" spans="2:35" ht="14" customHeight="1" x14ac:dyDescent="0.2">
      <c r="B38" s="44" t="s">
        <v>97</v>
      </c>
      <c r="C38" s="45" t="s">
        <v>98</v>
      </c>
      <c r="D38" s="46"/>
      <c r="E38" s="46"/>
      <c r="F38" s="123"/>
      <c r="G38" s="123">
        <f>G39</f>
        <v>0</v>
      </c>
      <c r="I38" s="184">
        <f t="shared" si="36"/>
        <v>0</v>
      </c>
      <c r="J38" s="184">
        <f t="shared" si="36"/>
        <v>11448635</v>
      </c>
      <c r="K38" s="184">
        <f t="shared" si="36"/>
        <v>0</v>
      </c>
      <c r="L38" s="184">
        <f t="shared" si="36"/>
        <v>0</v>
      </c>
      <c r="M38" s="184">
        <f t="shared" si="36"/>
        <v>0</v>
      </c>
      <c r="N38" s="184">
        <f t="shared" si="36"/>
        <v>0</v>
      </c>
      <c r="O38" s="184">
        <f t="shared" si="36"/>
        <v>0</v>
      </c>
      <c r="P38" s="184">
        <f t="shared" si="36"/>
        <v>0</v>
      </c>
      <c r="Q38" s="184">
        <f t="shared" si="36"/>
        <v>0</v>
      </c>
      <c r="R38" s="184">
        <f t="shared" si="36"/>
        <v>0</v>
      </c>
      <c r="S38" s="184">
        <f t="shared" si="36"/>
        <v>0</v>
      </c>
      <c r="T38" s="184">
        <f t="shared" si="36"/>
        <v>0</v>
      </c>
      <c r="U38" s="184">
        <f t="shared" si="36"/>
        <v>0</v>
      </c>
      <c r="V38" s="184">
        <f t="shared" si="36"/>
        <v>0</v>
      </c>
      <c r="W38" s="184">
        <f t="shared" si="36"/>
        <v>0</v>
      </c>
      <c r="X38" s="184">
        <f t="shared" si="36"/>
        <v>0</v>
      </c>
      <c r="Y38" s="184">
        <f t="shared" si="37"/>
        <v>0</v>
      </c>
      <c r="Z38" s="184">
        <f t="shared" si="37"/>
        <v>0</v>
      </c>
      <c r="AA38" s="184">
        <f t="shared" si="37"/>
        <v>0</v>
      </c>
      <c r="AB38" s="184">
        <f t="shared" si="37"/>
        <v>0</v>
      </c>
      <c r="AC38" s="184">
        <f t="shared" si="37"/>
        <v>0</v>
      </c>
      <c r="AD38" s="184">
        <f t="shared" si="37"/>
        <v>0</v>
      </c>
      <c r="AE38" s="184">
        <f t="shared" si="37"/>
        <v>0</v>
      </c>
      <c r="AF38" s="184">
        <f t="shared" si="37"/>
        <v>0</v>
      </c>
      <c r="AG38" s="184">
        <f t="shared" si="37"/>
        <v>0</v>
      </c>
      <c r="AH38" s="184">
        <f t="shared" si="37"/>
        <v>0</v>
      </c>
      <c r="AI38" s="184">
        <f t="shared" si="37"/>
        <v>0</v>
      </c>
    </row>
    <row r="39" spans="2:35" ht="14" customHeight="1" x14ac:dyDescent="0.2">
      <c r="B39" s="127" t="s">
        <v>99</v>
      </c>
      <c r="C39" s="118" t="s">
        <v>98</v>
      </c>
      <c r="D39" s="128"/>
      <c r="E39" s="128"/>
      <c r="F39" s="129"/>
      <c r="G39" s="124"/>
      <c r="I39" s="187">
        <f t="shared" ref="I39" si="38">O39+T39+Y39+AD39+AI39</f>
        <v>0</v>
      </c>
      <c r="J39" s="187">
        <v>11448635</v>
      </c>
      <c r="K39" s="187"/>
      <c r="L39" s="187"/>
      <c r="M39" s="187"/>
      <c r="N39" s="187"/>
      <c r="O39" s="187">
        <f>SUM(K39:N39)</f>
        <v>0</v>
      </c>
      <c r="P39" s="187"/>
      <c r="Q39" s="187"/>
      <c r="R39" s="187"/>
      <c r="S39" s="187"/>
      <c r="T39" s="187">
        <f>SUM(P39:S39)</f>
        <v>0</v>
      </c>
      <c r="U39" s="187"/>
      <c r="V39" s="187"/>
      <c r="W39" s="187"/>
      <c r="X39" s="187"/>
      <c r="Y39" s="187">
        <f>SUM(U39:X39)</f>
        <v>0</v>
      </c>
      <c r="Z39" s="187"/>
      <c r="AA39" s="187"/>
      <c r="AB39" s="187"/>
      <c r="AC39" s="187"/>
      <c r="AD39" s="187">
        <f>SUM(Z39:AC39)</f>
        <v>0</v>
      </c>
      <c r="AE39" s="187"/>
      <c r="AF39" s="187"/>
      <c r="AG39" s="187"/>
      <c r="AH39" s="187"/>
      <c r="AI39" s="187">
        <f>SUM(AE39:AH39)</f>
        <v>0</v>
      </c>
    </row>
    <row r="40" spans="2:35" ht="14" customHeight="1" x14ac:dyDescent="0.2">
      <c r="B40" s="41">
        <v>5</v>
      </c>
      <c r="C40" s="56" t="s">
        <v>100</v>
      </c>
      <c r="D40" s="57"/>
      <c r="E40" s="57"/>
      <c r="F40" s="122"/>
      <c r="G40" s="122">
        <f>SUM(G41)</f>
        <v>0</v>
      </c>
      <c r="I40" s="180">
        <f>SUM(I41)</f>
        <v>243248685.39999998</v>
      </c>
      <c r="J40" s="180">
        <f t="shared" ref="J40:AI40" si="39">SUM(J41)</f>
        <v>2045743.2799999998</v>
      </c>
      <c r="K40" s="251">
        <f t="shared" si="39"/>
        <v>0</v>
      </c>
      <c r="L40" s="251">
        <f t="shared" si="39"/>
        <v>0</v>
      </c>
      <c r="M40" s="251">
        <f t="shared" si="39"/>
        <v>0</v>
      </c>
      <c r="N40" s="251">
        <f t="shared" si="39"/>
        <v>0</v>
      </c>
      <c r="O40" s="251">
        <f t="shared" si="39"/>
        <v>0</v>
      </c>
      <c r="P40" s="251">
        <f t="shared" si="39"/>
        <v>0</v>
      </c>
      <c r="Q40" s="251">
        <f t="shared" si="39"/>
        <v>0</v>
      </c>
      <c r="R40" s="251">
        <f t="shared" si="39"/>
        <v>0</v>
      </c>
      <c r="S40" s="251">
        <f t="shared" si="39"/>
        <v>0</v>
      </c>
      <c r="T40" s="251">
        <f t="shared" si="39"/>
        <v>0</v>
      </c>
      <c r="U40" s="251">
        <f t="shared" si="39"/>
        <v>0</v>
      </c>
      <c r="V40" s="251">
        <f t="shared" si="39"/>
        <v>78</v>
      </c>
      <c r="W40" s="251">
        <f t="shared" si="39"/>
        <v>0</v>
      </c>
      <c r="X40" s="251">
        <f t="shared" si="39"/>
        <v>0</v>
      </c>
      <c r="Y40" s="251">
        <f t="shared" si="39"/>
        <v>78</v>
      </c>
      <c r="Z40" s="251">
        <f t="shared" si="39"/>
        <v>0</v>
      </c>
      <c r="AA40" s="251">
        <f t="shared" si="39"/>
        <v>0</v>
      </c>
      <c r="AB40" s="251">
        <f t="shared" si="39"/>
        <v>0</v>
      </c>
      <c r="AC40" s="251">
        <f t="shared" si="39"/>
        <v>0</v>
      </c>
      <c r="AD40" s="251">
        <f t="shared" si="39"/>
        <v>0</v>
      </c>
      <c r="AE40" s="251">
        <f t="shared" si="39"/>
        <v>235</v>
      </c>
      <c r="AF40" s="251">
        <f t="shared" si="39"/>
        <v>0</v>
      </c>
      <c r="AG40" s="251">
        <f t="shared" si="39"/>
        <v>0</v>
      </c>
      <c r="AH40" s="251">
        <f t="shared" si="39"/>
        <v>0</v>
      </c>
      <c r="AI40" s="251">
        <f t="shared" si="39"/>
        <v>235</v>
      </c>
    </row>
    <row r="41" spans="2:35" ht="14" customHeight="1" x14ac:dyDescent="0.2">
      <c r="B41" s="44" t="s">
        <v>101</v>
      </c>
      <c r="C41" s="45" t="s">
        <v>102</v>
      </c>
      <c r="D41" s="46"/>
      <c r="E41" s="46"/>
      <c r="F41" s="123"/>
      <c r="G41" s="123">
        <f>G43</f>
        <v>0</v>
      </c>
      <c r="I41" s="184">
        <f>I42+I46</f>
        <v>243248685.39999998</v>
      </c>
      <c r="J41" s="184">
        <f>J42+J46</f>
        <v>2045743.2799999998</v>
      </c>
      <c r="K41" s="252">
        <f t="shared" ref="K41:AI41" si="40">K42+K46</f>
        <v>0</v>
      </c>
      <c r="L41" s="252">
        <f t="shared" si="40"/>
        <v>0</v>
      </c>
      <c r="M41" s="252">
        <f t="shared" si="40"/>
        <v>0</v>
      </c>
      <c r="N41" s="252">
        <f t="shared" si="40"/>
        <v>0</v>
      </c>
      <c r="O41" s="252">
        <f t="shared" si="40"/>
        <v>0</v>
      </c>
      <c r="P41" s="252">
        <f t="shared" si="40"/>
        <v>0</v>
      </c>
      <c r="Q41" s="252">
        <f t="shared" si="40"/>
        <v>0</v>
      </c>
      <c r="R41" s="252">
        <f t="shared" si="40"/>
        <v>0</v>
      </c>
      <c r="S41" s="252">
        <f t="shared" si="40"/>
        <v>0</v>
      </c>
      <c r="T41" s="252">
        <f t="shared" si="40"/>
        <v>0</v>
      </c>
      <c r="U41" s="252">
        <f t="shared" si="40"/>
        <v>0</v>
      </c>
      <c r="V41" s="252">
        <f t="shared" si="40"/>
        <v>78</v>
      </c>
      <c r="W41" s="252">
        <f t="shared" si="40"/>
        <v>0</v>
      </c>
      <c r="X41" s="252">
        <f t="shared" si="40"/>
        <v>0</v>
      </c>
      <c r="Y41" s="252">
        <f t="shared" si="40"/>
        <v>78</v>
      </c>
      <c r="Z41" s="252">
        <f t="shared" si="40"/>
        <v>0</v>
      </c>
      <c r="AA41" s="252">
        <f t="shared" si="40"/>
        <v>0</v>
      </c>
      <c r="AB41" s="252">
        <f t="shared" si="40"/>
        <v>0</v>
      </c>
      <c r="AC41" s="252">
        <f t="shared" si="40"/>
        <v>0</v>
      </c>
      <c r="AD41" s="252">
        <f t="shared" si="40"/>
        <v>0</v>
      </c>
      <c r="AE41" s="252">
        <f t="shared" si="40"/>
        <v>235</v>
      </c>
      <c r="AF41" s="252">
        <f t="shared" si="40"/>
        <v>0</v>
      </c>
      <c r="AG41" s="252">
        <f t="shared" si="40"/>
        <v>0</v>
      </c>
      <c r="AH41" s="252">
        <f t="shared" si="40"/>
        <v>0</v>
      </c>
      <c r="AI41" s="252">
        <f t="shared" si="40"/>
        <v>235</v>
      </c>
    </row>
    <row r="42" spans="2:35" ht="14" customHeight="1" x14ac:dyDescent="0.2">
      <c r="B42" s="141" t="s">
        <v>103</v>
      </c>
      <c r="C42" s="142" t="s">
        <v>104</v>
      </c>
      <c r="D42" s="143"/>
      <c r="E42" s="143"/>
      <c r="F42" s="144"/>
      <c r="G42" s="145"/>
      <c r="I42" s="195">
        <f>SUM(I43:I45)</f>
        <v>93711814.559999987</v>
      </c>
      <c r="J42" s="195">
        <f>SUM(J43:J45)</f>
        <v>866096.27999999991</v>
      </c>
      <c r="K42" s="253">
        <f t="shared" ref="K42:AI42" si="41">SUM(K43:K45)</f>
        <v>0</v>
      </c>
      <c r="L42" s="253">
        <f t="shared" si="41"/>
        <v>0</v>
      </c>
      <c r="M42" s="253">
        <f t="shared" si="41"/>
        <v>0</v>
      </c>
      <c r="N42" s="253">
        <f t="shared" si="41"/>
        <v>0</v>
      </c>
      <c r="O42" s="253">
        <f t="shared" si="41"/>
        <v>0</v>
      </c>
      <c r="P42" s="253">
        <f t="shared" si="41"/>
        <v>0</v>
      </c>
      <c r="Q42" s="253">
        <f t="shared" si="41"/>
        <v>0</v>
      </c>
      <c r="R42" s="253">
        <f t="shared" si="41"/>
        <v>0</v>
      </c>
      <c r="S42" s="253">
        <f t="shared" si="41"/>
        <v>0</v>
      </c>
      <c r="T42" s="253">
        <f t="shared" si="41"/>
        <v>0</v>
      </c>
      <c r="U42" s="253">
        <f t="shared" si="41"/>
        <v>0</v>
      </c>
      <c r="V42" s="253">
        <f t="shared" si="41"/>
        <v>76</v>
      </c>
      <c r="W42" s="253">
        <f t="shared" si="41"/>
        <v>0</v>
      </c>
      <c r="X42" s="253">
        <f t="shared" si="41"/>
        <v>0</v>
      </c>
      <c r="Y42" s="253">
        <f t="shared" si="41"/>
        <v>76</v>
      </c>
      <c r="Z42" s="253">
        <f t="shared" si="41"/>
        <v>0</v>
      </c>
      <c r="AA42" s="253">
        <f t="shared" si="41"/>
        <v>0</v>
      </c>
      <c r="AB42" s="253">
        <f t="shared" si="41"/>
        <v>0</v>
      </c>
      <c r="AC42" s="253">
        <f t="shared" si="41"/>
        <v>0</v>
      </c>
      <c r="AD42" s="253">
        <f t="shared" si="41"/>
        <v>0</v>
      </c>
      <c r="AE42" s="253">
        <f t="shared" si="41"/>
        <v>73</v>
      </c>
      <c r="AF42" s="253">
        <f t="shared" si="41"/>
        <v>0</v>
      </c>
      <c r="AG42" s="253">
        <f t="shared" si="41"/>
        <v>0</v>
      </c>
      <c r="AH42" s="253">
        <f t="shared" si="41"/>
        <v>0</v>
      </c>
      <c r="AI42" s="253">
        <f t="shared" si="41"/>
        <v>73</v>
      </c>
    </row>
    <row r="43" spans="2:35" ht="14" customHeight="1" x14ac:dyDescent="0.2">
      <c r="B43" s="117" t="s">
        <v>105</v>
      </c>
      <c r="C43" s="118" t="s">
        <v>106</v>
      </c>
      <c r="D43" s="115">
        <v>136</v>
      </c>
      <c r="E43" s="119" t="s">
        <v>107</v>
      </c>
      <c r="F43" s="130"/>
      <c r="G43" s="129"/>
      <c r="I43" s="187">
        <f>(O43+T43+Y43+AD43+AI43)*J43</f>
        <v>91167061.439999983</v>
      </c>
      <c r="J43" s="187">
        <f>563316*1.19</f>
        <v>670346.03999999992</v>
      </c>
      <c r="K43" s="254"/>
      <c r="L43" s="254"/>
      <c r="M43" s="254"/>
      <c r="N43" s="254"/>
      <c r="O43" s="254">
        <f t="shared" ref="O43:O45" si="42">SUM(K43:N43)</f>
        <v>0</v>
      </c>
      <c r="P43" s="254"/>
      <c r="Q43" s="254"/>
      <c r="R43" s="254"/>
      <c r="S43" s="254"/>
      <c r="T43" s="254">
        <f t="shared" ref="T43:T45" si="43">SUM(P43:S43)</f>
        <v>0</v>
      </c>
      <c r="U43" s="254"/>
      <c r="V43" s="254">
        <v>68</v>
      </c>
      <c r="W43" s="254"/>
      <c r="X43" s="254"/>
      <c r="Y43" s="254">
        <f t="shared" ref="Y43:Y45" si="44">SUM(U43:X43)</f>
        <v>68</v>
      </c>
      <c r="Z43" s="254"/>
      <c r="AA43" s="254"/>
      <c r="AB43" s="254"/>
      <c r="AC43" s="254"/>
      <c r="AD43" s="254">
        <f t="shared" ref="AD43:AD45" si="45">SUM(Z43:AC43)</f>
        <v>0</v>
      </c>
      <c r="AE43" s="254">
        <v>68</v>
      </c>
      <c r="AF43" s="254"/>
      <c r="AG43" s="254"/>
      <c r="AH43" s="254"/>
      <c r="AI43" s="254">
        <f t="shared" ref="AI43:AI45" si="46">SUM(AE43:AH43)</f>
        <v>68</v>
      </c>
    </row>
    <row r="44" spans="2:35" ht="14" customHeight="1" x14ac:dyDescent="0.2">
      <c r="B44" s="117" t="s">
        <v>108</v>
      </c>
      <c r="C44" s="118" t="s">
        <v>109</v>
      </c>
      <c r="D44" s="115"/>
      <c r="E44" s="119"/>
      <c r="F44" s="130"/>
      <c r="G44" s="129"/>
      <c r="I44" s="187">
        <f t="shared" ref="I44:I45" si="47">(O44+T44+Y44+AD44+AI44)*J44</f>
        <v>0</v>
      </c>
      <c r="J44" s="187"/>
      <c r="K44" s="254"/>
      <c r="L44" s="254"/>
      <c r="M44" s="254"/>
      <c r="N44" s="254"/>
      <c r="O44" s="254">
        <f t="shared" si="42"/>
        <v>0</v>
      </c>
      <c r="P44" s="254"/>
      <c r="Q44" s="254"/>
      <c r="R44" s="254"/>
      <c r="S44" s="254"/>
      <c r="T44" s="254">
        <f t="shared" si="43"/>
        <v>0</v>
      </c>
      <c r="U44" s="254"/>
      <c r="V44" s="254"/>
      <c r="W44" s="254"/>
      <c r="X44" s="254"/>
      <c r="Y44" s="254">
        <f t="shared" si="44"/>
        <v>0</v>
      </c>
      <c r="Z44" s="254"/>
      <c r="AA44" s="254"/>
      <c r="AB44" s="254"/>
      <c r="AC44" s="254"/>
      <c r="AD44" s="254">
        <f t="shared" si="45"/>
        <v>0</v>
      </c>
      <c r="AE44" s="254"/>
      <c r="AF44" s="254"/>
      <c r="AG44" s="254"/>
      <c r="AH44" s="254"/>
      <c r="AI44" s="254">
        <f t="shared" si="46"/>
        <v>0</v>
      </c>
    </row>
    <row r="45" spans="2:35" ht="14" customHeight="1" x14ac:dyDescent="0.2">
      <c r="B45" s="117" t="s">
        <v>110</v>
      </c>
      <c r="C45" s="118" t="s">
        <v>111</v>
      </c>
      <c r="D45" s="115">
        <v>13</v>
      </c>
      <c r="E45" s="119" t="s">
        <v>107</v>
      </c>
      <c r="F45" s="130"/>
      <c r="G45" s="129"/>
      <c r="I45" s="187">
        <f t="shared" si="47"/>
        <v>2544753.12</v>
      </c>
      <c r="J45" s="187">
        <f>164496*1.19</f>
        <v>195750.24</v>
      </c>
      <c r="K45" s="254"/>
      <c r="L45" s="254"/>
      <c r="M45" s="254"/>
      <c r="N45" s="254"/>
      <c r="O45" s="254">
        <f t="shared" si="42"/>
        <v>0</v>
      </c>
      <c r="P45" s="254"/>
      <c r="Q45" s="254"/>
      <c r="R45" s="254"/>
      <c r="S45" s="254"/>
      <c r="T45" s="254">
        <f t="shared" si="43"/>
        <v>0</v>
      </c>
      <c r="U45" s="254"/>
      <c r="V45" s="254">
        <v>8</v>
      </c>
      <c r="W45" s="254"/>
      <c r="X45" s="254"/>
      <c r="Y45" s="254">
        <f t="shared" si="44"/>
        <v>8</v>
      </c>
      <c r="Z45" s="254"/>
      <c r="AA45" s="254"/>
      <c r="AB45" s="254"/>
      <c r="AC45" s="254"/>
      <c r="AD45" s="254">
        <f t="shared" si="45"/>
        <v>0</v>
      </c>
      <c r="AE45" s="254">
        <v>5</v>
      </c>
      <c r="AF45" s="254"/>
      <c r="AG45" s="254"/>
      <c r="AH45" s="254"/>
      <c r="AI45" s="254">
        <f t="shared" si="46"/>
        <v>5</v>
      </c>
    </row>
    <row r="46" spans="2:35" ht="14" customHeight="1" x14ac:dyDescent="0.2">
      <c r="B46" s="141" t="s">
        <v>112</v>
      </c>
      <c r="C46" s="142" t="s">
        <v>113</v>
      </c>
      <c r="D46" s="115"/>
      <c r="E46" s="143"/>
      <c r="F46" s="144"/>
      <c r="G46" s="145"/>
      <c r="I46" s="195">
        <f>SUM(I47:I49)</f>
        <v>149536870.84</v>
      </c>
      <c r="J46" s="195">
        <f>SUM(J47:J49)</f>
        <v>1179647</v>
      </c>
      <c r="K46" s="253">
        <f t="shared" ref="K46:AI46" si="48">SUM(K47:K49)</f>
        <v>0</v>
      </c>
      <c r="L46" s="253">
        <f t="shared" si="48"/>
        <v>0</v>
      </c>
      <c r="M46" s="253">
        <f t="shared" si="48"/>
        <v>0</v>
      </c>
      <c r="N46" s="253">
        <f t="shared" si="48"/>
        <v>0</v>
      </c>
      <c r="O46" s="253">
        <f t="shared" si="48"/>
        <v>0</v>
      </c>
      <c r="P46" s="253">
        <f t="shared" si="48"/>
        <v>0</v>
      </c>
      <c r="Q46" s="253">
        <f t="shared" si="48"/>
        <v>0</v>
      </c>
      <c r="R46" s="253">
        <f t="shared" si="48"/>
        <v>0</v>
      </c>
      <c r="S46" s="253">
        <f t="shared" si="48"/>
        <v>0</v>
      </c>
      <c r="T46" s="253">
        <f t="shared" si="48"/>
        <v>0</v>
      </c>
      <c r="U46" s="253">
        <f t="shared" si="48"/>
        <v>0</v>
      </c>
      <c r="V46" s="253">
        <f t="shared" si="48"/>
        <v>2</v>
      </c>
      <c r="W46" s="253">
        <f t="shared" si="48"/>
        <v>0</v>
      </c>
      <c r="X46" s="253">
        <f t="shared" si="48"/>
        <v>0</v>
      </c>
      <c r="Y46" s="253">
        <f t="shared" si="48"/>
        <v>2</v>
      </c>
      <c r="Z46" s="253">
        <f t="shared" si="48"/>
        <v>0</v>
      </c>
      <c r="AA46" s="253">
        <f t="shared" si="48"/>
        <v>0</v>
      </c>
      <c r="AB46" s="253">
        <f t="shared" si="48"/>
        <v>0</v>
      </c>
      <c r="AC46" s="253">
        <f t="shared" si="48"/>
        <v>0</v>
      </c>
      <c r="AD46" s="253">
        <f t="shared" si="48"/>
        <v>0</v>
      </c>
      <c r="AE46" s="253">
        <f t="shared" si="48"/>
        <v>162</v>
      </c>
      <c r="AF46" s="253">
        <f t="shared" si="48"/>
        <v>0</v>
      </c>
      <c r="AG46" s="253">
        <f t="shared" si="48"/>
        <v>0</v>
      </c>
      <c r="AH46" s="253">
        <f t="shared" si="48"/>
        <v>0</v>
      </c>
      <c r="AI46" s="253">
        <f t="shared" si="48"/>
        <v>162</v>
      </c>
    </row>
    <row r="47" spans="2:35" ht="14" customHeight="1" x14ac:dyDescent="0.2">
      <c r="B47" s="117" t="s">
        <v>114</v>
      </c>
      <c r="C47" s="118" t="s">
        <v>115</v>
      </c>
      <c r="D47" s="115">
        <v>149</v>
      </c>
      <c r="E47" s="119" t="s">
        <v>107</v>
      </c>
      <c r="F47" s="130"/>
      <c r="G47" s="129"/>
      <c r="I47" s="187">
        <f>(O47+T47+Y47+AD47+AI47)*J47</f>
        <v>146600617.24000001</v>
      </c>
      <c r="J47" s="187">
        <f>826804*1.19</f>
        <v>983896.76</v>
      </c>
      <c r="K47" s="254"/>
      <c r="L47" s="254"/>
      <c r="M47" s="254"/>
      <c r="N47" s="254"/>
      <c r="O47" s="254">
        <f t="shared" ref="O47:O49" si="49">SUM(K47:N47)</f>
        <v>0</v>
      </c>
      <c r="P47" s="254"/>
      <c r="Q47" s="254"/>
      <c r="R47" s="254"/>
      <c r="S47" s="254"/>
      <c r="T47" s="254">
        <f t="shared" ref="T47:T49" si="50">SUM(P47:S47)</f>
        <v>0</v>
      </c>
      <c r="U47" s="254"/>
      <c r="V47" s="254">
        <v>1</v>
      </c>
      <c r="W47" s="254"/>
      <c r="X47" s="254"/>
      <c r="Y47" s="254">
        <f t="shared" ref="Y47:Y49" si="51">SUM(U47:X47)</f>
        <v>1</v>
      </c>
      <c r="Z47" s="254"/>
      <c r="AA47" s="254"/>
      <c r="AB47" s="254"/>
      <c r="AC47" s="254"/>
      <c r="AD47" s="254"/>
      <c r="AE47" s="254">
        <v>148</v>
      </c>
      <c r="AF47" s="254"/>
      <c r="AG47" s="254"/>
      <c r="AH47" s="254"/>
      <c r="AI47" s="254">
        <f t="shared" ref="AI47:AI49" si="52">SUM(AE47:AH47)</f>
        <v>148</v>
      </c>
    </row>
    <row r="48" spans="2:35" ht="14" customHeight="1" x14ac:dyDescent="0.2">
      <c r="B48" s="117" t="s">
        <v>116</v>
      </c>
      <c r="C48" s="118" t="s">
        <v>117</v>
      </c>
      <c r="D48" s="115"/>
      <c r="E48" s="119"/>
      <c r="F48" s="130"/>
      <c r="G48" s="129"/>
      <c r="I48" s="187">
        <f t="shared" ref="I48:I49" si="53">(O48+T48+Y48+AD48+AI48)*J48</f>
        <v>0</v>
      </c>
      <c r="J48" s="187"/>
      <c r="K48" s="254"/>
      <c r="L48" s="254"/>
      <c r="M48" s="254"/>
      <c r="N48" s="254"/>
      <c r="O48" s="254">
        <f t="shared" si="49"/>
        <v>0</v>
      </c>
      <c r="P48" s="254"/>
      <c r="Q48" s="254"/>
      <c r="R48" s="254"/>
      <c r="S48" s="254"/>
      <c r="T48" s="254">
        <f t="shared" si="50"/>
        <v>0</v>
      </c>
      <c r="U48" s="254"/>
      <c r="V48" s="254"/>
      <c r="W48" s="254"/>
      <c r="X48" s="254"/>
      <c r="Y48" s="254">
        <f t="shared" si="51"/>
        <v>0</v>
      </c>
      <c r="Z48" s="254"/>
      <c r="AA48" s="254"/>
      <c r="AB48" s="254"/>
      <c r="AC48" s="254"/>
      <c r="AD48" s="254">
        <f t="shared" ref="AD48" si="54">SUM(Z48:AC48)</f>
        <v>0</v>
      </c>
      <c r="AE48" s="254"/>
      <c r="AF48" s="254"/>
      <c r="AG48" s="254"/>
      <c r="AH48" s="254"/>
      <c r="AI48" s="254">
        <f t="shared" si="52"/>
        <v>0</v>
      </c>
    </row>
    <row r="49" spans="2:35" ht="14" customHeight="1" x14ac:dyDescent="0.2">
      <c r="B49" s="117" t="s">
        <v>118</v>
      </c>
      <c r="C49" s="118" t="s">
        <v>119</v>
      </c>
      <c r="D49" s="115">
        <v>15</v>
      </c>
      <c r="E49" s="119" t="s">
        <v>107</v>
      </c>
      <c r="F49" s="130"/>
      <c r="G49" s="129"/>
      <c r="I49" s="187">
        <f t="shared" si="53"/>
        <v>2936253.5999999996</v>
      </c>
      <c r="J49" s="187">
        <f>164496*1.19</f>
        <v>195750.24</v>
      </c>
      <c r="K49" s="254"/>
      <c r="L49" s="254"/>
      <c r="M49" s="254"/>
      <c r="N49" s="254"/>
      <c r="O49" s="254">
        <f t="shared" si="49"/>
        <v>0</v>
      </c>
      <c r="P49" s="254"/>
      <c r="Q49" s="254"/>
      <c r="R49" s="254"/>
      <c r="S49" s="254"/>
      <c r="T49" s="254">
        <f t="shared" si="50"/>
        <v>0</v>
      </c>
      <c r="U49" s="254"/>
      <c r="V49" s="254">
        <v>1</v>
      </c>
      <c r="W49" s="254"/>
      <c r="X49" s="254"/>
      <c r="Y49" s="254">
        <f t="shared" si="51"/>
        <v>1</v>
      </c>
      <c r="Z49" s="254"/>
      <c r="AA49" s="254"/>
      <c r="AB49" s="254"/>
      <c r="AC49" s="254"/>
      <c r="AD49" s="254"/>
      <c r="AE49" s="254">
        <v>14</v>
      </c>
      <c r="AF49" s="254"/>
      <c r="AG49" s="254"/>
      <c r="AH49" s="254"/>
      <c r="AI49" s="254">
        <f t="shared" si="52"/>
        <v>14</v>
      </c>
    </row>
    <row r="50" spans="2:35" ht="14" customHeight="1" x14ac:dyDescent="0.2">
      <c r="B50" s="41">
        <v>6</v>
      </c>
      <c r="C50" s="56" t="s">
        <v>120</v>
      </c>
      <c r="D50" s="57"/>
      <c r="E50" s="57"/>
      <c r="F50" s="122"/>
      <c r="G50" s="122">
        <f>SUM(G51)</f>
        <v>2519593500</v>
      </c>
      <c r="I50" s="180">
        <f t="shared" ref="I50:AI50" si="55">SUM(I51)</f>
        <v>2298988353.2199998</v>
      </c>
      <c r="J50" s="180">
        <f t="shared" si="55"/>
        <v>4337.713874</v>
      </c>
      <c r="K50" s="251">
        <f t="shared" si="55"/>
        <v>0</v>
      </c>
      <c r="L50" s="251">
        <f t="shared" si="55"/>
        <v>0</v>
      </c>
      <c r="M50" s="251">
        <f t="shared" si="55"/>
        <v>0</v>
      </c>
      <c r="N50" s="251">
        <f t="shared" si="55"/>
        <v>0</v>
      </c>
      <c r="O50" s="251">
        <f t="shared" si="55"/>
        <v>0</v>
      </c>
      <c r="P50" s="251">
        <f t="shared" si="55"/>
        <v>0</v>
      </c>
      <c r="Q50" s="251">
        <f t="shared" si="55"/>
        <v>0</v>
      </c>
      <c r="R50" s="251">
        <f t="shared" si="55"/>
        <v>0</v>
      </c>
      <c r="S50" s="251">
        <f t="shared" si="55"/>
        <v>152435</v>
      </c>
      <c r="T50" s="251">
        <f t="shared" si="55"/>
        <v>152435</v>
      </c>
      <c r="U50" s="251">
        <f t="shared" si="55"/>
        <v>0</v>
      </c>
      <c r="V50" s="251">
        <f t="shared" si="55"/>
        <v>100000</v>
      </c>
      <c r="W50" s="251">
        <f t="shared" si="55"/>
        <v>0</v>
      </c>
      <c r="X50" s="251">
        <f t="shared" si="55"/>
        <v>100000</v>
      </c>
      <c r="Y50" s="251">
        <f t="shared" si="55"/>
        <v>200000</v>
      </c>
      <c r="Z50" s="251">
        <f t="shared" si="55"/>
        <v>0</v>
      </c>
      <c r="AA50" s="251">
        <f t="shared" si="55"/>
        <v>100000</v>
      </c>
      <c r="AB50" s="251">
        <f t="shared" si="55"/>
        <v>0</v>
      </c>
      <c r="AC50" s="251">
        <f t="shared" si="55"/>
        <v>77565</v>
      </c>
      <c r="AD50" s="251">
        <f t="shared" si="55"/>
        <v>177565</v>
      </c>
      <c r="AE50" s="251">
        <f t="shared" si="55"/>
        <v>0</v>
      </c>
      <c r="AF50" s="251">
        <f t="shared" si="55"/>
        <v>0</v>
      </c>
      <c r="AG50" s="251">
        <f t="shared" si="55"/>
        <v>0</v>
      </c>
      <c r="AH50" s="251">
        <f t="shared" si="55"/>
        <v>0</v>
      </c>
      <c r="AI50" s="251">
        <f t="shared" si="55"/>
        <v>0</v>
      </c>
    </row>
    <row r="51" spans="2:35" ht="14" customHeight="1" x14ac:dyDescent="0.2">
      <c r="B51" s="58" t="s">
        <v>121</v>
      </c>
      <c r="C51" s="45" t="s">
        <v>122</v>
      </c>
      <c r="D51" s="46"/>
      <c r="E51" s="46"/>
      <c r="F51" s="123"/>
      <c r="G51" s="123">
        <f>G52</f>
        <v>2519593500</v>
      </c>
      <c r="I51" s="184">
        <f t="shared" ref="I51:AI51" si="56">I52</f>
        <v>2298988353.2199998</v>
      </c>
      <c r="J51" s="184">
        <f t="shared" si="56"/>
        <v>4337.713874</v>
      </c>
      <c r="K51" s="252">
        <f t="shared" si="56"/>
        <v>0</v>
      </c>
      <c r="L51" s="252">
        <f t="shared" si="56"/>
        <v>0</v>
      </c>
      <c r="M51" s="252">
        <f t="shared" si="56"/>
        <v>0</v>
      </c>
      <c r="N51" s="252">
        <f t="shared" si="56"/>
        <v>0</v>
      </c>
      <c r="O51" s="252">
        <f t="shared" si="56"/>
        <v>0</v>
      </c>
      <c r="P51" s="252">
        <f t="shared" si="56"/>
        <v>0</v>
      </c>
      <c r="Q51" s="252">
        <f t="shared" si="56"/>
        <v>0</v>
      </c>
      <c r="R51" s="252">
        <f t="shared" si="56"/>
        <v>0</v>
      </c>
      <c r="S51" s="252">
        <f t="shared" si="56"/>
        <v>152435</v>
      </c>
      <c r="T51" s="252">
        <f t="shared" si="56"/>
        <v>152435</v>
      </c>
      <c r="U51" s="252">
        <f t="shared" si="56"/>
        <v>0</v>
      </c>
      <c r="V51" s="252">
        <f t="shared" si="56"/>
        <v>100000</v>
      </c>
      <c r="W51" s="252">
        <f t="shared" si="56"/>
        <v>0</v>
      </c>
      <c r="X51" s="252">
        <f t="shared" si="56"/>
        <v>100000</v>
      </c>
      <c r="Y51" s="252">
        <f t="shared" si="56"/>
        <v>200000</v>
      </c>
      <c r="Z51" s="252">
        <f t="shared" si="56"/>
        <v>0</v>
      </c>
      <c r="AA51" s="252">
        <f t="shared" si="56"/>
        <v>100000</v>
      </c>
      <c r="AB51" s="252">
        <f t="shared" si="56"/>
        <v>0</v>
      </c>
      <c r="AC51" s="252">
        <f t="shared" si="56"/>
        <v>77565</v>
      </c>
      <c r="AD51" s="252">
        <f t="shared" si="56"/>
        <v>177565</v>
      </c>
      <c r="AE51" s="252">
        <f t="shared" si="56"/>
        <v>0</v>
      </c>
      <c r="AF51" s="252">
        <f t="shared" si="56"/>
        <v>0</v>
      </c>
      <c r="AG51" s="252">
        <f t="shared" si="56"/>
        <v>0</v>
      </c>
      <c r="AH51" s="252">
        <f t="shared" si="56"/>
        <v>0</v>
      </c>
      <c r="AI51" s="252">
        <f t="shared" si="56"/>
        <v>0</v>
      </c>
    </row>
    <row r="52" spans="2:35" ht="14" customHeight="1" x14ac:dyDescent="0.2">
      <c r="B52" s="59" t="s">
        <v>123</v>
      </c>
      <c r="C52" s="48" t="s">
        <v>124</v>
      </c>
      <c r="D52" s="115">
        <v>530000</v>
      </c>
      <c r="E52" s="49" t="s">
        <v>125</v>
      </c>
      <c r="F52" s="124">
        <v>4753.95</v>
      </c>
      <c r="G52" s="124">
        <f>+D52*F52</f>
        <v>2519593500</v>
      </c>
      <c r="I52" s="187">
        <f t="shared" ref="I52" si="57">(O52+T52+Y52+AD52+AI52)*J52</f>
        <v>2298988353.2199998</v>
      </c>
      <c r="J52" s="187">
        <v>4337.713874</v>
      </c>
      <c r="K52" s="254"/>
      <c r="L52" s="254"/>
      <c r="M52" s="254"/>
      <c r="N52" s="254"/>
      <c r="O52" s="254">
        <f t="shared" ref="O52" si="58">SUM(K52:N52)</f>
        <v>0</v>
      </c>
      <c r="P52" s="254"/>
      <c r="Q52" s="254"/>
      <c r="R52" s="254"/>
      <c r="S52" s="254">
        <v>152435</v>
      </c>
      <c r="T52" s="254">
        <f t="shared" ref="T52" si="59">SUM(P52:S52)</f>
        <v>152435</v>
      </c>
      <c r="U52" s="254"/>
      <c r="V52" s="254">
        <v>100000</v>
      </c>
      <c r="W52" s="254"/>
      <c r="X52" s="254">
        <v>100000</v>
      </c>
      <c r="Y52" s="254">
        <f t="shared" ref="Y52" si="60">SUM(U52:X52)</f>
        <v>200000</v>
      </c>
      <c r="Z52" s="254"/>
      <c r="AA52" s="254">
        <v>100000</v>
      </c>
      <c r="AB52" s="254"/>
      <c r="AC52" s="254">
        <v>77565</v>
      </c>
      <c r="AD52" s="254">
        <f t="shared" ref="AD52" si="61">SUM(Z52:AC52)</f>
        <v>177565</v>
      </c>
      <c r="AE52" s="254"/>
      <c r="AF52" s="254"/>
      <c r="AG52" s="254"/>
      <c r="AH52" s="254"/>
      <c r="AI52" s="254">
        <f t="shared" ref="AI52" si="62">SUM(AE52:AH52)</f>
        <v>0</v>
      </c>
    </row>
    <row r="54" spans="2:35" ht="14" customHeight="1" x14ac:dyDescent="0.2">
      <c r="C54" s="56" t="s">
        <v>128</v>
      </c>
      <c r="D54" s="56"/>
      <c r="E54" s="56"/>
      <c r="F54" s="56">
        <f>F43*D43</f>
        <v>0</v>
      </c>
      <c r="G54" s="56">
        <f>G50+G40+G37+G31+G4</f>
        <v>2670127484.5625</v>
      </c>
      <c r="I54" s="137">
        <f>I50+I40+I37+I31+I4</f>
        <v>2630634203.6199999</v>
      </c>
      <c r="J54" s="137"/>
      <c r="K54" s="137">
        <f>(K50*$J$50)+(K43*$J$43)+(K44*$J$44)+(K45*$J$45)+(K47*$J$47)+(K48*$J$48)+(K49*$J$49)+K37+K31+K4</f>
        <v>0</v>
      </c>
      <c r="L54" s="137">
        <f>(L50*$J$50)+(L43*$J$43)+(L44*$J$44)+(L45*$J$45)+(L47*$J$47)+(L48*$J$48)+(L49*$J$49)+L37+L31+L4</f>
        <v>0</v>
      </c>
      <c r="M54" s="137">
        <f t="shared" ref="M54:AI54" si="63">(M50*$J$50)+(M43*$J$43)+(M44*$J$44)+(M45*$J$45)+(M47*$J$47)+(M48*$J$48)+(M49*$J$49)+M37+M31+M4</f>
        <v>64463869</v>
      </c>
      <c r="N54" s="137">
        <f t="shared" si="63"/>
        <v>6435886</v>
      </c>
      <c r="O54" s="137">
        <f t="shared" si="63"/>
        <v>70899755</v>
      </c>
      <c r="P54" s="137">
        <f t="shared" si="63"/>
        <v>0</v>
      </c>
      <c r="Q54" s="137">
        <f t="shared" si="63"/>
        <v>1497410</v>
      </c>
      <c r="R54" s="137">
        <f t="shared" si="63"/>
        <v>0</v>
      </c>
      <c r="S54" s="137">
        <f t="shared" si="63"/>
        <v>665219414.38319004</v>
      </c>
      <c r="T54" s="137">
        <f t="shared" si="63"/>
        <v>666716824.38319004</v>
      </c>
      <c r="U54" s="137">
        <f t="shared" si="63"/>
        <v>0</v>
      </c>
      <c r="V54" s="137">
        <f t="shared" si="63"/>
        <v>482100567.03999996</v>
      </c>
      <c r="W54" s="137">
        <f t="shared" si="63"/>
        <v>0</v>
      </c>
      <c r="X54" s="137">
        <f t="shared" si="63"/>
        <v>437771387.39999998</v>
      </c>
      <c r="Y54" s="137">
        <f t="shared" si="63"/>
        <v>919871954.43999994</v>
      </c>
      <c r="Z54" s="137">
        <f t="shared" si="63"/>
        <v>0</v>
      </c>
      <c r="AA54" s="137">
        <f t="shared" si="63"/>
        <v>433771387.39999998</v>
      </c>
      <c r="AB54" s="137">
        <f t="shared" si="63"/>
        <v>0</v>
      </c>
      <c r="AC54" s="137">
        <f t="shared" si="63"/>
        <v>340454776.63681</v>
      </c>
      <c r="AD54" s="137">
        <f t="shared" si="63"/>
        <v>774226164.03681004</v>
      </c>
      <c r="AE54" s="137">
        <f t="shared" si="63"/>
        <v>194919505.75999999</v>
      </c>
      <c r="AF54" s="137">
        <f t="shared" si="63"/>
        <v>0</v>
      </c>
      <c r="AG54" s="137">
        <f t="shared" si="63"/>
        <v>0</v>
      </c>
      <c r="AH54" s="137">
        <f t="shared" si="63"/>
        <v>4000000</v>
      </c>
      <c r="AI54" s="137">
        <f t="shared" si="63"/>
        <v>198919505.75999999</v>
      </c>
    </row>
    <row r="57" spans="2:35" ht="14" customHeight="1" x14ac:dyDescent="0.2">
      <c r="T57" s="34"/>
    </row>
    <row r="58" spans="2:35" ht="14" customHeight="1" x14ac:dyDescent="0.2">
      <c r="L58" s="33"/>
      <c r="U58" s="34"/>
      <c r="V58" s="34"/>
    </row>
    <row r="59" spans="2:35" ht="14" customHeight="1" x14ac:dyDescent="0.2">
      <c r="I59" s="33"/>
      <c r="K59" s="33"/>
    </row>
    <row r="60" spans="2:35" ht="14" customHeight="1" x14ac:dyDescent="0.2">
      <c r="V60" s="34"/>
    </row>
  </sheetData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49C8B-058B-487C-8E0A-149597A260B7}">
  <sheetPr>
    <tabColor theme="4"/>
  </sheetPr>
  <dimension ref="B2:U53"/>
  <sheetViews>
    <sheetView workbookViewId="0">
      <selection activeCell="N19" sqref="N19"/>
    </sheetView>
  </sheetViews>
  <sheetFormatPr baseColWidth="10" defaultColWidth="11.5" defaultRowHeight="14.5" customHeight="1" x14ac:dyDescent="0.2"/>
  <cols>
    <col min="3" max="3" width="34.6640625" customWidth="1"/>
    <col min="4" max="4" width="15.33203125" bestFit="1" customWidth="1"/>
    <col min="6" max="6" width="18" customWidth="1"/>
    <col min="7" max="7" width="18.33203125" customWidth="1"/>
    <col min="8" max="8" width="14.33203125" customWidth="1"/>
  </cols>
  <sheetData>
    <row r="2" spans="2:21" ht="14.5" customHeight="1" x14ac:dyDescent="0.2">
      <c r="F2">
        <v>4</v>
      </c>
      <c r="G2">
        <v>5</v>
      </c>
      <c r="H2">
        <v>6</v>
      </c>
      <c r="I2">
        <v>7</v>
      </c>
      <c r="J2">
        <v>8</v>
      </c>
    </row>
    <row r="3" spans="2:21" ht="14.5" customHeight="1" x14ac:dyDescent="0.2">
      <c r="B3" s="36" t="s">
        <v>0</v>
      </c>
      <c r="C3" s="36" t="s">
        <v>1</v>
      </c>
      <c r="D3" s="208" t="s">
        <v>136</v>
      </c>
      <c r="F3" s="209" t="s">
        <v>237</v>
      </c>
      <c r="G3" s="209" t="s">
        <v>238</v>
      </c>
      <c r="H3" s="209" t="s">
        <v>239</v>
      </c>
      <c r="I3" s="209" t="s">
        <v>240</v>
      </c>
      <c r="J3" s="209" t="s">
        <v>241</v>
      </c>
      <c r="K3" s="205"/>
      <c r="L3" s="205"/>
      <c r="M3" s="205"/>
      <c r="N3" s="205"/>
      <c r="O3" s="205"/>
      <c r="P3" s="205"/>
      <c r="Q3" s="205"/>
      <c r="R3" s="205"/>
      <c r="S3" s="205"/>
      <c r="T3" s="205"/>
      <c r="U3" s="205"/>
    </row>
    <row r="4" spans="2:21" ht="14.5" customHeight="1" x14ac:dyDescent="0.2">
      <c r="B4" s="41">
        <v>1</v>
      </c>
      <c r="C4" s="122" t="s">
        <v>32</v>
      </c>
      <c r="D4" s="122">
        <f>SUM(D5,D12,D16,D18,D28)</f>
        <v>14119683.859999999</v>
      </c>
      <c r="F4" s="122">
        <f t="shared" ref="F4:J4" si="0">SUM(F5,F12,F16,F18,F28)</f>
        <v>7643233.8600000003</v>
      </c>
      <c r="G4" s="122">
        <f t="shared" si="0"/>
        <v>6476450</v>
      </c>
      <c r="H4" s="122">
        <f t="shared" si="0"/>
        <v>0</v>
      </c>
      <c r="I4" s="122">
        <f t="shared" si="0"/>
        <v>0</v>
      </c>
      <c r="J4" s="122">
        <f t="shared" si="0"/>
        <v>0</v>
      </c>
    </row>
    <row r="5" spans="2:21" ht="14.5" customHeight="1" x14ac:dyDescent="0.2">
      <c r="B5" s="51" t="s">
        <v>33</v>
      </c>
      <c r="C5" s="52" t="s">
        <v>34</v>
      </c>
      <c r="D5" s="123">
        <f>SUM(D6:D11)</f>
        <v>5917366.8600000003</v>
      </c>
      <c r="F5" s="123">
        <f t="shared" ref="F5:J5" si="1">SUM(F6:F11)</f>
        <v>5917366.8600000003</v>
      </c>
      <c r="G5" s="123">
        <f t="shared" si="1"/>
        <v>0</v>
      </c>
      <c r="H5" s="123">
        <f t="shared" si="1"/>
        <v>0</v>
      </c>
      <c r="I5" s="123">
        <f t="shared" si="1"/>
        <v>0</v>
      </c>
      <c r="J5" s="123">
        <f t="shared" si="1"/>
        <v>0</v>
      </c>
    </row>
    <row r="6" spans="2:21" ht="14.5" customHeight="1" x14ac:dyDescent="0.2">
      <c r="B6" s="47" t="s">
        <v>35</v>
      </c>
      <c r="C6" s="48" t="s">
        <v>36</v>
      </c>
      <c r="D6" s="124">
        <f>SUM(F6:J6)</f>
        <v>0</v>
      </c>
      <c r="F6" s="124"/>
      <c r="G6" s="124"/>
      <c r="H6" s="124"/>
      <c r="I6" s="124"/>
      <c r="J6" s="124"/>
    </row>
    <row r="7" spans="2:21" ht="14.5" customHeight="1" x14ac:dyDescent="0.2">
      <c r="B7" s="47" t="s">
        <v>38</v>
      </c>
      <c r="C7" s="48" t="s">
        <v>39</v>
      </c>
      <c r="D7" s="124">
        <f t="shared" ref="D7:D29" si="2">SUM(F7:J7)</f>
        <v>5917366.8600000003</v>
      </c>
      <c r="F7" s="124">
        <f>4972577.19+944789.67</f>
        <v>5917366.8600000003</v>
      </c>
      <c r="G7" s="124"/>
      <c r="H7" s="124"/>
      <c r="I7" s="124"/>
      <c r="J7" s="124"/>
    </row>
    <row r="8" spans="2:21" ht="14.5" customHeight="1" x14ac:dyDescent="0.2">
      <c r="B8" s="47" t="s">
        <v>40</v>
      </c>
      <c r="C8" s="48" t="s">
        <v>41</v>
      </c>
      <c r="D8" s="124">
        <f t="shared" si="2"/>
        <v>0</v>
      </c>
      <c r="F8" s="124"/>
      <c r="G8" s="124"/>
      <c r="H8" s="124"/>
      <c r="I8" s="124"/>
      <c r="J8" s="124"/>
    </row>
    <row r="9" spans="2:21" ht="14.5" customHeight="1" x14ac:dyDescent="0.2">
      <c r="B9" s="47" t="s">
        <v>42</v>
      </c>
      <c r="C9" s="48" t="s">
        <v>43</v>
      </c>
      <c r="D9" s="124">
        <f t="shared" si="2"/>
        <v>0</v>
      </c>
      <c r="F9" s="124"/>
      <c r="G9" s="124"/>
      <c r="H9" s="124"/>
      <c r="I9" s="124"/>
      <c r="J9" s="124"/>
    </row>
    <row r="10" spans="2:21" ht="14.5" customHeight="1" x14ac:dyDescent="0.2">
      <c r="B10" s="47" t="s">
        <v>44</v>
      </c>
      <c r="C10" s="48" t="s">
        <v>45</v>
      </c>
      <c r="D10" s="124">
        <f t="shared" si="2"/>
        <v>0</v>
      </c>
      <c r="F10" s="124"/>
      <c r="G10" s="124"/>
      <c r="H10" s="124"/>
      <c r="I10" s="124"/>
      <c r="J10" s="124"/>
    </row>
    <row r="11" spans="2:21" ht="30" x14ac:dyDescent="0.2">
      <c r="B11" s="47" t="s">
        <v>46</v>
      </c>
      <c r="C11" s="48" t="s">
        <v>47</v>
      </c>
      <c r="D11" s="124">
        <f t="shared" si="2"/>
        <v>0</v>
      </c>
      <c r="F11" s="124"/>
      <c r="G11" s="124"/>
      <c r="H11" s="124"/>
      <c r="I11" s="124"/>
      <c r="J11" s="124"/>
    </row>
    <row r="12" spans="2:21" ht="14.5" customHeight="1" x14ac:dyDescent="0.2">
      <c r="B12" s="51" t="s">
        <v>48</v>
      </c>
      <c r="C12" s="52" t="s">
        <v>49</v>
      </c>
      <c r="D12" s="123">
        <f>SUM(D13:D15)</f>
        <v>0</v>
      </c>
      <c r="F12" s="123">
        <f t="shared" ref="F12:J12" si="3">SUM(F13:F15)</f>
        <v>0</v>
      </c>
      <c r="G12" s="123">
        <f t="shared" si="3"/>
        <v>0</v>
      </c>
      <c r="H12" s="123">
        <f t="shared" si="3"/>
        <v>0</v>
      </c>
      <c r="I12" s="123">
        <f t="shared" si="3"/>
        <v>0</v>
      </c>
      <c r="J12" s="123">
        <f t="shared" si="3"/>
        <v>0</v>
      </c>
    </row>
    <row r="13" spans="2:21" ht="14.5" customHeight="1" x14ac:dyDescent="0.2">
      <c r="B13" s="47" t="s">
        <v>50</v>
      </c>
      <c r="C13" s="48" t="s">
        <v>51</v>
      </c>
      <c r="D13" s="124">
        <f t="shared" si="2"/>
        <v>0</v>
      </c>
      <c r="F13" s="124"/>
      <c r="G13" s="124"/>
      <c r="H13" s="124"/>
      <c r="I13" s="124"/>
      <c r="J13" s="124"/>
    </row>
    <row r="14" spans="2:21" ht="14.5" customHeight="1" x14ac:dyDescent="0.2">
      <c r="B14" s="47" t="s">
        <v>52</v>
      </c>
      <c r="C14" s="48" t="s">
        <v>53</v>
      </c>
      <c r="D14" s="124">
        <f t="shared" si="2"/>
        <v>0</v>
      </c>
      <c r="F14" s="124"/>
      <c r="G14" s="124"/>
      <c r="H14" s="124"/>
      <c r="I14" s="124"/>
      <c r="J14" s="124"/>
    </row>
    <row r="15" spans="2:21" ht="14.5" customHeight="1" x14ac:dyDescent="0.2">
      <c r="B15" s="47" t="s">
        <v>54</v>
      </c>
      <c r="C15" s="48" t="s">
        <v>55</v>
      </c>
      <c r="D15" s="124">
        <f t="shared" si="2"/>
        <v>0</v>
      </c>
      <c r="F15" s="124"/>
      <c r="G15" s="124"/>
      <c r="H15" s="124"/>
      <c r="I15" s="124"/>
      <c r="J15" s="124"/>
    </row>
    <row r="16" spans="2:21" ht="14.5" customHeight="1" x14ac:dyDescent="0.2">
      <c r="B16" s="51" t="s">
        <v>56</v>
      </c>
      <c r="C16" s="52" t="s">
        <v>57</v>
      </c>
      <c r="D16" s="277">
        <f>D17</f>
        <v>8202317</v>
      </c>
      <c r="F16" s="277">
        <f t="shared" ref="F16:J16" si="4">F17</f>
        <v>1725867</v>
      </c>
      <c r="G16" s="277">
        <f t="shared" si="4"/>
        <v>6476450</v>
      </c>
      <c r="H16" s="277">
        <f t="shared" si="4"/>
        <v>0</v>
      </c>
      <c r="I16" s="277">
        <f t="shared" si="4"/>
        <v>0</v>
      </c>
      <c r="J16" s="277">
        <f t="shared" si="4"/>
        <v>0</v>
      </c>
    </row>
    <row r="17" spans="2:10" ht="14.5" customHeight="1" x14ac:dyDescent="0.2">
      <c r="B17" s="138" t="s">
        <v>58</v>
      </c>
      <c r="C17" s="139" t="s">
        <v>59</v>
      </c>
      <c r="D17" s="124">
        <f t="shared" si="2"/>
        <v>8202317</v>
      </c>
      <c r="F17" s="50">
        <v>1725867</v>
      </c>
      <c r="G17" s="50">
        <v>6476450</v>
      </c>
      <c r="H17" s="50"/>
      <c r="I17" s="50"/>
      <c r="J17" s="50"/>
    </row>
    <row r="18" spans="2:10" ht="14.5" customHeight="1" x14ac:dyDescent="0.2">
      <c r="B18" s="44" t="s">
        <v>61</v>
      </c>
      <c r="C18" s="45" t="s">
        <v>62</v>
      </c>
      <c r="D18" s="123">
        <f>SUM(D19:D27)</f>
        <v>0</v>
      </c>
      <c r="F18" s="123">
        <f t="shared" ref="F18:J18" si="5">SUM(F19:F27)</f>
        <v>0</v>
      </c>
      <c r="G18" s="123">
        <f t="shared" si="5"/>
        <v>0</v>
      </c>
      <c r="H18" s="123">
        <f t="shared" si="5"/>
        <v>0</v>
      </c>
      <c r="I18" s="123">
        <f t="shared" si="5"/>
        <v>0</v>
      </c>
      <c r="J18" s="123">
        <f t="shared" si="5"/>
        <v>0</v>
      </c>
    </row>
    <row r="19" spans="2:10" ht="27" customHeight="1" x14ac:dyDescent="0.2">
      <c r="B19" s="53" t="s">
        <v>63</v>
      </c>
      <c r="C19" s="54" t="s">
        <v>64</v>
      </c>
      <c r="D19" s="124">
        <f t="shared" si="2"/>
        <v>0</v>
      </c>
      <c r="F19" s="124"/>
      <c r="G19" s="124"/>
      <c r="H19" s="124"/>
      <c r="I19" s="124"/>
      <c r="J19" s="124"/>
    </row>
    <row r="20" spans="2:10" ht="14.5" customHeight="1" x14ac:dyDescent="0.2">
      <c r="B20" s="53" t="s">
        <v>66</v>
      </c>
      <c r="C20" s="48" t="s">
        <v>67</v>
      </c>
      <c r="D20" s="124">
        <f t="shared" si="2"/>
        <v>0</v>
      </c>
      <c r="F20" s="124"/>
      <c r="G20" s="124"/>
      <c r="H20" s="124"/>
      <c r="I20" s="124"/>
      <c r="J20" s="124"/>
    </row>
    <row r="21" spans="2:10" ht="14.5" customHeight="1" x14ac:dyDescent="0.2">
      <c r="B21" s="53" t="s">
        <v>68</v>
      </c>
      <c r="C21" s="48" t="s">
        <v>69</v>
      </c>
      <c r="D21" s="124">
        <f t="shared" si="2"/>
        <v>0</v>
      </c>
      <c r="F21" s="124"/>
      <c r="G21" s="124"/>
      <c r="H21" s="124"/>
      <c r="I21" s="124"/>
      <c r="J21" s="124"/>
    </row>
    <row r="22" spans="2:10" ht="14.5" customHeight="1" x14ac:dyDescent="0.2">
      <c r="B22" s="53" t="s">
        <v>70</v>
      </c>
      <c r="C22" s="48" t="s">
        <v>71</v>
      </c>
      <c r="D22" s="124">
        <f t="shared" si="2"/>
        <v>0</v>
      </c>
      <c r="F22" s="124"/>
      <c r="G22" s="124"/>
      <c r="H22" s="124"/>
      <c r="I22" s="124"/>
      <c r="J22" s="124"/>
    </row>
    <row r="23" spans="2:10" ht="14.5" customHeight="1" x14ac:dyDescent="0.2">
      <c r="B23" s="53" t="s">
        <v>72</v>
      </c>
      <c r="C23" s="48" t="s">
        <v>73</v>
      </c>
      <c r="D23" s="124">
        <f t="shared" si="2"/>
        <v>0</v>
      </c>
      <c r="F23" s="124"/>
      <c r="G23" s="124"/>
      <c r="H23" s="124"/>
      <c r="I23" s="124"/>
      <c r="J23" s="124"/>
    </row>
    <row r="24" spans="2:10" ht="14.5" customHeight="1" x14ac:dyDescent="0.2">
      <c r="B24" s="53" t="s">
        <v>74</v>
      </c>
      <c r="C24" s="48" t="s">
        <v>75</v>
      </c>
      <c r="D24" s="124">
        <f t="shared" si="2"/>
        <v>0</v>
      </c>
      <c r="F24" s="124"/>
      <c r="G24" s="124"/>
      <c r="H24" s="124"/>
      <c r="I24" s="124"/>
      <c r="J24" s="124"/>
    </row>
    <row r="25" spans="2:10" ht="14.5" customHeight="1" x14ac:dyDescent="0.2">
      <c r="B25" s="53" t="s">
        <v>76</v>
      </c>
      <c r="C25" s="48" t="s">
        <v>77</v>
      </c>
      <c r="D25" s="124">
        <f t="shared" si="2"/>
        <v>0</v>
      </c>
      <c r="F25" s="124"/>
      <c r="G25" s="124"/>
      <c r="H25" s="124"/>
      <c r="I25" s="124"/>
      <c r="J25" s="124"/>
    </row>
    <row r="26" spans="2:10" ht="14.5" customHeight="1" x14ac:dyDescent="0.2">
      <c r="B26" s="53" t="s">
        <v>78</v>
      </c>
      <c r="C26" s="48" t="s">
        <v>79</v>
      </c>
      <c r="D26" s="124">
        <f t="shared" si="2"/>
        <v>0</v>
      </c>
      <c r="F26" s="124"/>
      <c r="G26" s="124"/>
      <c r="H26" s="124"/>
      <c r="I26" s="124"/>
      <c r="J26" s="124"/>
    </row>
    <row r="27" spans="2:10" ht="14.5" customHeight="1" x14ac:dyDescent="0.2">
      <c r="B27" s="53" t="s">
        <v>80</v>
      </c>
      <c r="C27" s="48" t="s">
        <v>81</v>
      </c>
      <c r="D27" s="124">
        <f t="shared" si="2"/>
        <v>0</v>
      </c>
      <c r="F27" s="124"/>
      <c r="G27" s="124"/>
      <c r="H27" s="124"/>
      <c r="I27" s="124"/>
      <c r="J27" s="124"/>
    </row>
    <row r="28" spans="2:10" ht="14.5" customHeight="1" x14ac:dyDescent="0.2">
      <c r="B28" s="44" t="s">
        <v>82</v>
      </c>
      <c r="C28" s="45" t="s">
        <v>83</v>
      </c>
      <c r="D28" s="123">
        <f t="shared" ref="D28:J28" si="6">SUM(D29)</f>
        <v>0</v>
      </c>
      <c r="F28" s="123">
        <f t="shared" si="6"/>
        <v>0</v>
      </c>
      <c r="G28" s="123">
        <f t="shared" si="6"/>
        <v>0</v>
      </c>
      <c r="H28" s="123">
        <f t="shared" si="6"/>
        <v>0</v>
      </c>
      <c r="I28" s="123">
        <f t="shared" si="6"/>
        <v>0</v>
      </c>
      <c r="J28" s="123">
        <f t="shared" si="6"/>
        <v>0</v>
      </c>
    </row>
    <row r="29" spans="2:10" ht="14.5" customHeight="1" x14ac:dyDescent="0.2">
      <c r="B29" s="47" t="s">
        <v>84</v>
      </c>
      <c r="C29" s="48" t="s">
        <v>85</v>
      </c>
      <c r="D29" s="124">
        <f t="shared" si="2"/>
        <v>0</v>
      </c>
      <c r="F29" s="124"/>
      <c r="G29" s="124"/>
      <c r="H29" s="124"/>
      <c r="I29" s="124"/>
      <c r="J29" s="124"/>
    </row>
    <row r="30" spans="2:10" ht="14.5" customHeight="1" x14ac:dyDescent="0.2">
      <c r="B30" s="41">
        <v>3</v>
      </c>
      <c r="C30" s="56" t="s">
        <v>86</v>
      </c>
      <c r="D30" s="122">
        <f>D31</f>
        <v>609510</v>
      </c>
      <c r="F30" s="122">
        <f t="shared" ref="F30:J30" si="7">F31</f>
        <v>609510</v>
      </c>
      <c r="G30" s="122">
        <f t="shared" si="7"/>
        <v>0</v>
      </c>
      <c r="H30" s="122">
        <f t="shared" si="7"/>
        <v>0</v>
      </c>
      <c r="I30" s="122">
        <f t="shared" si="7"/>
        <v>0</v>
      </c>
      <c r="J30" s="122">
        <f t="shared" si="7"/>
        <v>0</v>
      </c>
    </row>
    <row r="31" spans="2:10" ht="14.5" customHeight="1" x14ac:dyDescent="0.2">
      <c r="B31" s="44" t="s">
        <v>87</v>
      </c>
      <c r="C31" s="45" t="s">
        <v>86</v>
      </c>
      <c r="D31" s="123">
        <f>SUM(D32:D35)</f>
        <v>609510</v>
      </c>
      <c r="F31" s="123">
        <f t="shared" ref="F31:J31" si="8">SUM(F32:F35)</f>
        <v>609510</v>
      </c>
      <c r="G31" s="123">
        <f t="shared" si="8"/>
        <v>0</v>
      </c>
      <c r="H31" s="123">
        <f t="shared" si="8"/>
        <v>0</v>
      </c>
      <c r="I31" s="123">
        <f t="shared" si="8"/>
        <v>0</v>
      </c>
      <c r="J31" s="123">
        <f t="shared" si="8"/>
        <v>0</v>
      </c>
    </row>
    <row r="32" spans="2:10" ht="14.5" customHeight="1" x14ac:dyDescent="0.2">
      <c r="B32" s="47" t="s">
        <v>88</v>
      </c>
      <c r="C32" s="48" t="s">
        <v>89</v>
      </c>
      <c r="D32" s="124">
        <f t="shared" ref="D32:D35" si="9">SUM(F32:J32)</f>
        <v>0</v>
      </c>
      <c r="F32" s="124"/>
      <c r="G32" s="124"/>
      <c r="H32" s="124"/>
      <c r="I32" s="124"/>
      <c r="J32" s="124"/>
    </row>
    <row r="33" spans="2:10" ht="14.5" customHeight="1" x14ac:dyDescent="0.2">
      <c r="B33" s="47" t="s">
        <v>90</v>
      </c>
      <c r="C33" s="48" t="s">
        <v>91</v>
      </c>
      <c r="D33" s="124">
        <f t="shared" si="9"/>
        <v>0</v>
      </c>
      <c r="F33" s="124"/>
      <c r="G33" s="124"/>
      <c r="H33" s="124"/>
      <c r="I33" s="124"/>
      <c r="J33" s="124"/>
    </row>
    <row r="34" spans="2:10" ht="14.5" customHeight="1" x14ac:dyDescent="0.2">
      <c r="B34" s="47" t="s">
        <v>92</v>
      </c>
      <c r="C34" s="48" t="s">
        <v>93</v>
      </c>
      <c r="D34" s="124">
        <f t="shared" si="9"/>
        <v>609510</v>
      </c>
      <c r="F34" s="124">
        <f>520000+89510</f>
        <v>609510</v>
      </c>
      <c r="G34" s="124"/>
      <c r="H34" s="124"/>
      <c r="I34" s="124"/>
      <c r="J34" s="124"/>
    </row>
    <row r="35" spans="2:10" ht="14.5" customHeight="1" x14ac:dyDescent="0.2">
      <c r="B35" s="47" t="s">
        <v>94</v>
      </c>
      <c r="C35" s="48" t="s">
        <v>95</v>
      </c>
      <c r="D35" s="124">
        <f t="shared" si="9"/>
        <v>0</v>
      </c>
      <c r="F35" s="124"/>
      <c r="G35" s="124"/>
      <c r="H35" s="124"/>
      <c r="I35" s="124"/>
      <c r="J35" s="124"/>
    </row>
    <row r="36" spans="2:10" ht="14.5" customHeight="1" x14ac:dyDescent="0.2">
      <c r="B36" s="41">
        <v>4</v>
      </c>
      <c r="C36" s="56" t="s">
        <v>96</v>
      </c>
      <c r="D36" s="122">
        <f>D37</f>
        <v>0</v>
      </c>
      <c r="F36" s="122">
        <f t="shared" ref="F36:J37" si="10">F37</f>
        <v>0</v>
      </c>
      <c r="G36" s="122">
        <f t="shared" si="10"/>
        <v>0</v>
      </c>
      <c r="H36" s="122">
        <f t="shared" si="10"/>
        <v>0</v>
      </c>
      <c r="I36" s="122">
        <f t="shared" si="10"/>
        <v>0</v>
      </c>
      <c r="J36" s="122">
        <f t="shared" si="10"/>
        <v>0</v>
      </c>
    </row>
    <row r="37" spans="2:10" ht="14.5" customHeight="1" x14ac:dyDescent="0.2">
      <c r="B37" s="44" t="s">
        <v>97</v>
      </c>
      <c r="C37" s="45" t="s">
        <v>98</v>
      </c>
      <c r="D37" s="123">
        <f>D38</f>
        <v>0</v>
      </c>
      <c r="F37" s="123">
        <f t="shared" si="10"/>
        <v>0</v>
      </c>
      <c r="G37" s="123">
        <f t="shared" si="10"/>
        <v>0</v>
      </c>
      <c r="H37" s="123">
        <f t="shared" si="10"/>
        <v>0</v>
      </c>
      <c r="I37" s="123">
        <f t="shared" si="10"/>
        <v>0</v>
      </c>
      <c r="J37" s="123">
        <f t="shared" si="10"/>
        <v>0</v>
      </c>
    </row>
    <row r="38" spans="2:10" ht="14.5" customHeight="1" x14ac:dyDescent="0.2">
      <c r="B38" s="127" t="s">
        <v>99</v>
      </c>
      <c r="C38" s="118" t="s">
        <v>98</v>
      </c>
      <c r="D38" s="124">
        <f t="shared" ref="D38" si="11">SUM(F38:J38)</f>
        <v>0</v>
      </c>
      <c r="F38" s="124"/>
      <c r="G38" s="124"/>
      <c r="H38" s="124"/>
      <c r="I38" s="124"/>
      <c r="J38" s="124"/>
    </row>
    <row r="39" spans="2:10" ht="14.5" customHeight="1" x14ac:dyDescent="0.2">
      <c r="B39" s="41">
        <v>5</v>
      </c>
      <c r="C39" s="56" t="s">
        <v>100</v>
      </c>
      <c r="D39" s="122">
        <f>SUM(D40)</f>
        <v>48133429.399999999</v>
      </c>
      <c r="F39" s="122">
        <f t="shared" ref="F39:J39" si="12">SUM(F40)</f>
        <v>0</v>
      </c>
      <c r="G39" s="122">
        <f t="shared" si="12"/>
        <v>48133429.399999999</v>
      </c>
      <c r="H39" s="122">
        <f t="shared" si="12"/>
        <v>0</v>
      </c>
      <c r="I39" s="122">
        <f t="shared" si="12"/>
        <v>0</v>
      </c>
      <c r="J39" s="122">
        <f t="shared" si="12"/>
        <v>0</v>
      </c>
    </row>
    <row r="40" spans="2:10" ht="14.5" customHeight="1" x14ac:dyDescent="0.2">
      <c r="B40" s="44" t="s">
        <v>101</v>
      </c>
      <c r="C40" s="45" t="s">
        <v>102</v>
      </c>
      <c r="D40" s="123">
        <f>D42</f>
        <v>48133429.399999999</v>
      </c>
      <c r="F40" s="123">
        <f t="shared" ref="F40:J40" si="13">F42</f>
        <v>0</v>
      </c>
      <c r="G40" s="123">
        <f t="shared" si="13"/>
        <v>48133429.399999999</v>
      </c>
      <c r="H40" s="123">
        <f t="shared" si="13"/>
        <v>0</v>
      </c>
      <c r="I40" s="123">
        <f t="shared" si="13"/>
        <v>0</v>
      </c>
      <c r="J40" s="123">
        <f t="shared" si="13"/>
        <v>0</v>
      </c>
    </row>
    <row r="41" spans="2:10" ht="14.5" customHeight="1" x14ac:dyDescent="0.2">
      <c r="B41" s="141" t="s">
        <v>103</v>
      </c>
      <c r="C41" s="142" t="s">
        <v>104</v>
      </c>
      <c r="D41" s="145"/>
      <c r="F41" s="145"/>
      <c r="G41" s="145"/>
      <c r="H41" s="145"/>
      <c r="I41" s="145"/>
      <c r="J41" s="145"/>
    </row>
    <row r="42" spans="2:10" ht="14.5" customHeight="1" x14ac:dyDescent="0.2">
      <c r="B42" s="117" t="s">
        <v>105</v>
      </c>
      <c r="C42" s="118" t="s">
        <v>106</v>
      </c>
      <c r="D42" s="124">
        <f t="shared" ref="D42:D44" si="14">SUM(F42:J42)</f>
        <v>48133429.399999999</v>
      </c>
      <c r="F42" s="129"/>
      <c r="G42" s="129">
        <f>40448260+7685169.4</f>
        <v>48133429.399999999</v>
      </c>
      <c r="H42" s="129"/>
      <c r="I42" s="129"/>
      <c r="J42" s="129"/>
    </row>
    <row r="43" spans="2:10" ht="14.5" customHeight="1" x14ac:dyDescent="0.2">
      <c r="B43" s="117" t="s">
        <v>108</v>
      </c>
      <c r="C43" s="118" t="s">
        <v>109</v>
      </c>
      <c r="D43" s="124">
        <f t="shared" si="14"/>
        <v>0</v>
      </c>
      <c r="F43" s="129"/>
      <c r="G43" s="129"/>
      <c r="H43" s="129"/>
      <c r="I43" s="129"/>
      <c r="J43" s="129"/>
    </row>
    <row r="44" spans="2:10" ht="14.5" customHeight="1" x14ac:dyDescent="0.2">
      <c r="B44" s="117" t="s">
        <v>110</v>
      </c>
      <c r="C44" s="118" t="s">
        <v>111</v>
      </c>
      <c r="D44" s="124">
        <f t="shared" si="14"/>
        <v>0</v>
      </c>
      <c r="F44" s="129"/>
      <c r="G44" s="129"/>
      <c r="H44" s="129"/>
      <c r="I44" s="129"/>
      <c r="J44" s="129"/>
    </row>
    <row r="45" spans="2:10" ht="14.5" customHeight="1" x14ac:dyDescent="0.2">
      <c r="B45" s="141" t="s">
        <v>112</v>
      </c>
      <c r="C45" s="142" t="s">
        <v>113</v>
      </c>
      <c r="D45" s="145"/>
      <c r="F45" s="145"/>
      <c r="G45" s="145"/>
      <c r="H45" s="145"/>
      <c r="I45" s="145"/>
      <c r="J45" s="145"/>
    </row>
    <row r="46" spans="2:10" ht="14.5" customHeight="1" x14ac:dyDescent="0.2">
      <c r="B46" s="117" t="s">
        <v>114</v>
      </c>
      <c r="C46" s="118" t="s">
        <v>115</v>
      </c>
      <c r="D46" s="124">
        <f t="shared" ref="D46:D48" si="15">SUM(F46:J46)</f>
        <v>0</v>
      </c>
      <c r="F46" s="129"/>
      <c r="G46" s="129"/>
      <c r="H46" s="129"/>
      <c r="I46" s="129"/>
      <c r="J46" s="129"/>
    </row>
    <row r="47" spans="2:10" ht="14.5" customHeight="1" x14ac:dyDescent="0.2">
      <c r="B47" s="117" t="s">
        <v>116</v>
      </c>
      <c r="C47" s="118" t="s">
        <v>117</v>
      </c>
      <c r="D47" s="124">
        <f t="shared" si="15"/>
        <v>0</v>
      </c>
      <c r="F47" s="129"/>
      <c r="G47" s="129"/>
      <c r="H47" s="129"/>
      <c r="I47" s="129"/>
      <c r="J47" s="129"/>
    </row>
    <row r="48" spans="2:10" ht="14.5" customHeight="1" x14ac:dyDescent="0.2">
      <c r="B48" s="117" t="s">
        <v>118</v>
      </c>
      <c r="C48" s="118" t="s">
        <v>119</v>
      </c>
      <c r="D48" s="124">
        <f t="shared" si="15"/>
        <v>0</v>
      </c>
      <c r="F48" s="129"/>
      <c r="G48" s="129"/>
      <c r="H48" s="129"/>
      <c r="I48" s="129"/>
      <c r="J48" s="129"/>
    </row>
    <row r="49" spans="2:10" ht="14.5" customHeight="1" x14ac:dyDescent="0.2">
      <c r="B49" s="41">
        <v>6</v>
      </c>
      <c r="C49" s="56" t="s">
        <v>120</v>
      </c>
      <c r="D49" s="122">
        <f>SUM(D50)</f>
        <v>0</v>
      </c>
      <c r="F49" s="122">
        <f t="shared" ref="F49:J49" si="16">SUM(F50)</f>
        <v>0</v>
      </c>
      <c r="G49" s="122">
        <f t="shared" si="16"/>
        <v>0</v>
      </c>
      <c r="H49" s="122">
        <f t="shared" si="16"/>
        <v>0</v>
      </c>
      <c r="I49" s="122">
        <f t="shared" si="16"/>
        <v>0</v>
      </c>
      <c r="J49" s="122">
        <f t="shared" si="16"/>
        <v>0</v>
      </c>
    </row>
    <row r="50" spans="2:10" ht="14.5" customHeight="1" x14ac:dyDescent="0.2">
      <c r="B50" s="58" t="s">
        <v>121</v>
      </c>
      <c r="C50" s="45" t="s">
        <v>122</v>
      </c>
      <c r="D50" s="123">
        <f>D51</f>
        <v>0</v>
      </c>
      <c r="F50" s="123">
        <f t="shared" ref="F50:J50" si="17">F51</f>
        <v>0</v>
      </c>
      <c r="G50" s="123">
        <f t="shared" si="17"/>
        <v>0</v>
      </c>
      <c r="H50" s="123">
        <f>H51</f>
        <v>0</v>
      </c>
      <c r="I50" s="123">
        <f t="shared" si="17"/>
        <v>0</v>
      </c>
      <c r="J50" s="123">
        <f t="shared" si="17"/>
        <v>0</v>
      </c>
    </row>
    <row r="51" spans="2:10" ht="14.5" customHeight="1" x14ac:dyDescent="0.2">
      <c r="B51" s="59" t="s">
        <v>123</v>
      </c>
      <c r="C51" s="48" t="s">
        <v>124</v>
      </c>
      <c r="D51" s="124">
        <f t="shared" ref="D51" si="18">SUM(F51:J51)</f>
        <v>0</v>
      </c>
      <c r="F51" s="124"/>
      <c r="G51" s="124"/>
      <c r="H51" s="124"/>
      <c r="I51" s="124"/>
      <c r="J51" s="124"/>
    </row>
    <row r="53" spans="2:10" ht="14.5" customHeight="1" x14ac:dyDescent="0.2">
      <c r="D53" s="137">
        <f>D49+D39+D36+D30+D4</f>
        <v>62862623.259999998</v>
      </c>
    </row>
  </sheetData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DCA3E-A39A-4B4A-8377-65E3253AB252}">
  <dimension ref="B2:AA2"/>
  <sheetViews>
    <sheetView workbookViewId="0">
      <selection activeCell="B2" sqref="B2:F2"/>
    </sheetView>
  </sheetViews>
  <sheetFormatPr baseColWidth="10" defaultColWidth="11.5" defaultRowHeight="15" x14ac:dyDescent="0.2"/>
  <cols>
    <col min="4" max="4" width="15.5" customWidth="1"/>
  </cols>
  <sheetData>
    <row r="2" spans="2:27" x14ac:dyDescent="0.2">
      <c r="B2" s="204" t="s">
        <v>242</v>
      </c>
      <c r="C2" s="205" t="s">
        <v>243</v>
      </c>
      <c r="D2" s="205" t="s">
        <v>244</v>
      </c>
      <c r="E2" s="205" t="s">
        <v>245</v>
      </c>
      <c r="F2" s="205" t="s">
        <v>246</v>
      </c>
      <c r="G2" s="205" t="s">
        <v>247</v>
      </c>
      <c r="H2" s="205" t="s">
        <v>248</v>
      </c>
      <c r="I2" s="205" t="s">
        <v>249</v>
      </c>
      <c r="J2" s="205" t="s">
        <v>250</v>
      </c>
      <c r="K2" s="205" t="s">
        <v>251</v>
      </c>
      <c r="L2" s="205" t="s">
        <v>252</v>
      </c>
      <c r="M2" s="205" t="s">
        <v>253</v>
      </c>
      <c r="N2" s="206" t="s">
        <v>254</v>
      </c>
      <c r="O2" s="205" t="s">
        <v>255</v>
      </c>
      <c r="P2" s="207" t="s">
        <v>256</v>
      </c>
      <c r="Q2" s="205" t="s">
        <v>257</v>
      </c>
      <c r="R2" s="205" t="s">
        <v>258</v>
      </c>
      <c r="S2" s="205" t="s">
        <v>259</v>
      </c>
      <c r="T2" s="205" t="s">
        <v>260</v>
      </c>
      <c r="U2" s="205" t="s">
        <v>261</v>
      </c>
      <c r="V2" s="205" t="s">
        <v>262</v>
      </c>
      <c r="W2" s="205" t="s">
        <v>263</v>
      </c>
      <c r="X2" s="205" t="s">
        <v>264</v>
      </c>
      <c r="Y2" s="205" t="s">
        <v>265</v>
      </c>
      <c r="Z2" s="205" t="s">
        <v>266</v>
      </c>
      <c r="AA2" s="205" t="s">
        <v>267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605D9-E9D0-4AAA-801F-1E5E81D3CAE2}">
  <dimension ref="A2:AB54"/>
  <sheetViews>
    <sheetView topLeftCell="E7" zoomScale="70" zoomScaleNormal="70" workbookViewId="0">
      <selection activeCell="R23" sqref="R23:R25"/>
    </sheetView>
  </sheetViews>
  <sheetFormatPr baseColWidth="10" defaultColWidth="11.5" defaultRowHeight="15" x14ac:dyDescent="0.2"/>
  <cols>
    <col min="4" max="4" width="10.5" customWidth="1"/>
    <col min="5" max="5" width="32.6640625" bestFit="1" customWidth="1"/>
    <col min="6" max="6" width="22.5" customWidth="1"/>
    <col min="7" max="7" width="15.1640625" bestFit="1" customWidth="1"/>
    <col min="8" max="8" width="37.1640625" style="310" customWidth="1"/>
    <col min="9" max="9" width="14.1640625" customWidth="1"/>
    <col min="10" max="10" width="16" customWidth="1"/>
    <col min="11" max="11" width="15.6640625" style="111" customWidth="1"/>
    <col min="12" max="12" width="20.6640625" customWidth="1"/>
    <col min="18" max="18" width="23.1640625" customWidth="1"/>
    <col min="19" max="19" width="20.6640625" customWidth="1"/>
    <col min="20" max="20" width="16.5" customWidth="1"/>
    <col min="27" max="27" width="18.5" customWidth="1"/>
  </cols>
  <sheetData>
    <row r="2" spans="1:26" ht="16" x14ac:dyDescent="0.2">
      <c r="E2" s="278" t="s">
        <v>127</v>
      </c>
      <c r="F2" s="480" t="s">
        <v>268</v>
      </c>
      <c r="G2" s="481"/>
      <c r="H2" s="311" t="s">
        <v>269</v>
      </c>
      <c r="I2" s="478" t="s">
        <v>270</v>
      </c>
      <c r="J2" s="479"/>
      <c r="K2" s="318" t="s">
        <v>180</v>
      </c>
      <c r="L2" s="299"/>
      <c r="M2" s="354"/>
    </row>
    <row r="3" spans="1:26" x14ac:dyDescent="0.2">
      <c r="A3" s="210" t="s">
        <v>271</v>
      </c>
      <c r="B3" s="210" t="s">
        <v>272</v>
      </c>
      <c r="C3" s="210" t="s">
        <v>273</v>
      </c>
      <c r="D3" s="210" t="s">
        <v>274</v>
      </c>
      <c r="E3" s="211" t="s">
        <v>275</v>
      </c>
      <c r="F3" s="211" t="s">
        <v>276</v>
      </c>
      <c r="G3" s="212" t="s">
        <v>277</v>
      </c>
      <c r="H3" s="312"/>
      <c r="I3" s="319" t="s">
        <v>276</v>
      </c>
      <c r="J3" s="320" t="s">
        <v>277</v>
      </c>
      <c r="K3" s="316" t="s">
        <v>278</v>
      </c>
      <c r="L3" s="352" t="s">
        <v>279</v>
      </c>
      <c r="M3" s="354" t="s">
        <v>184</v>
      </c>
      <c r="R3" s="302" t="s">
        <v>280</v>
      </c>
      <c r="S3" s="302" t="s">
        <v>281</v>
      </c>
      <c r="T3" s="302" t="s">
        <v>183</v>
      </c>
      <c r="U3" s="302" t="s">
        <v>180</v>
      </c>
      <c r="V3" s="302" t="s">
        <v>282</v>
      </c>
      <c r="W3" s="302" t="s">
        <v>283</v>
      </c>
      <c r="X3" s="303" t="s">
        <v>283</v>
      </c>
      <c r="Y3" s="304" t="s">
        <v>284</v>
      </c>
    </row>
    <row r="4" spans="1:26" x14ac:dyDescent="0.2">
      <c r="A4" s="213">
        <v>46146</v>
      </c>
      <c r="B4" s="213" t="s">
        <v>285</v>
      </c>
      <c r="C4" s="213" t="s">
        <v>286</v>
      </c>
      <c r="D4" s="213">
        <v>1</v>
      </c>
      <c r="E4" s="213" t="s">
        <v>287</v>
      </c>
      <c r="F4" s="315">
        <v>0.02</v>
      </c>
      <c r="G4" s="315">
        <v>0.02</v>
      </c>
      <c r="H4" s="313"/>
      <c r="I4" s="321">
        <f>R4/SUM(R4:R25)</f>
        <v>0</v>
      </c>
      <c r="J4" s="321">
        <f>I4</f>
        <v>0</v>
      </c>
      <c r="K4" s="315">
        <v>0</v>
      </c>
      <c r="L4" s="353">
        <f>K4</f>
        <v>0</v>
      </c>
      <c r="M4" s="355">
        <f>L4-J4</f>
        <v>0</v>
      </c>
      <c r="O4" s="111">
        <f>D4/$D$25</f>
        <v>4.5454545454545456E-2</v>
      </c>
      <c r="Q4">
        <v>1</v>
      </c>
      <c r="R4" s="285">
        <v>0</v>
      </c>
      <c r="S4" s="285">
        <f t="shared" ref="S4:S23" si="0">R4/1200</f>
        <v>0</v>
      </c>
      <c r="T4" s="286">
        <f>R4</f>
        <v>0</v>
      </c>
      <c r="U4" s="287">
        <v>5072.3999999999996</v>
      </c>
      <c r="V4" s="288">
        <f>U4</f>
        <v>5072.3999999999996</v>
      </c>
      <c r="W4" s="289">
        <f>V4-T4</f>
        <v>5072.3999999999996</v>
      </c>
      <c r="X4" s="301" t="e">
        <f>W4/T4</f>
        <v>#DIV/0!</v>
      </c>
      <c r="Y4" s="305">
        <f t="shared" ref="Y4:Y25" si="1">U4/$T$25</f>
        <v>9.5705840954416893E-3</v>
      </c>
    </row>
    <row r="5" spans="1:26" ht="43" x14ac:dyDescent="0.2">
      <c r="A5" s="213"/>
      <c r="B5" s="213" t="s">
        <v>285</v>
      </c>
      <c r="C5" s="213" t="s">
        <v>286</v>
      </c>
      <c r="D5" s="213">
        <v>2</v>
      </c>
      <c r="E5" s="213" t="s">
        <v>287</v>
      </c>
      <c r="F5" s="315">
        <v>0.03</v>
      </c>
      <c r="G5" s="315">
        <v>0.05</v>
      </c>
      <c r="H5" s="313" t="s">
        <v>288</v>
      </c>
      <c r="I5" s="321">
        <f t="shared" ref="I5:I25" si="2">R5/SUM(R5:R26)</f>
        <v>9.5698293770365601E-3</v>
      </c>
      <c r="J5" s="321">
        <f>J4+I5</f>
        <v>9.5698293770365601E-3</v>
      </c>
      <c r="K5" s="315">
        <f t="shared" ref="K5:K17" si="3">Y4</f>
        <v>9.5705840954416893E-3</v>
      </c>
      <c r="L5" s="353">
        <f>L4+K5</f>
        <v>9.5705840954416893E-3</v>
      </c>
      <c r="M5" s="355">
        <f t="shared" ref="M5:M25" si="4">L5-J5</f>
        <v>7.5471840512916777E-7</v>
      </c>
      <c r="O5" s="111">
        <f t="shared" ref="O5:O25" si="5">D5/$D$25</f>
        <v>9.0909090909090912E-2</v>
      </c>
      <c r="Q5">
        <v>2</v>
      </c>
      <c r="R5" s="285">
        <v>5072</v>
      </c>
      <c r="S5" s="285">
        <f t="shared" si="0"/>
        <v>4.2266666666666666</v>
      </c>
      <c r="T5" s="286">
        <f>R5+T4</f>
        <v>5072</v>
      </c>
      <c r="U5" s="287">
        <v>9583</v>
      </c>
      <c r="V5" s="288">
        <f>U5+V4</f>
        <v>14655.4</v>
      </c>
      <c r="W5" s="289">
        <f t="shared" ref="W5:W8" si="6">V5-T5</f>
        <v>9583.4</v>
      </c>
      <c r="X5" s="301">
        <f t="shared" ref="X5:X22" si="7">W5/T5</f>
        <v>1.8894716088328074</v>
      </c>
      <c r="Y5" s="305">
        <f t="shared" si="1"/>
        <v>1.8081166190879606E-2</v>
      </c>
    </row>
    <row r="6" spans="1:26" x14ac:dyDescent="0.2">
      <c r="A6" s="213"/>
      <c r="B6" s="213" t="s">
        <v>285</v>
      </c>
      <c r="C6" s="213" t="s">
        <v>286</v>
      </c>
      <c r="D6" s="213">
        <v>3</v>
      </c>
      <c r="E6" s="213" t="s">
        <v>289</v>
      </c>
      <c r="F6" s="315">
        <v>7.0000000000000007E-2</v>
      </c>
      <c r="G6" s="315">
        <v>0.12</v>
      </c>
      <c r="H6" s="313"/>
      <c r="I6" s="321">
        <f t="shared" si="2"/>
        <v>0</v>
      </c>
      <c r="J6" s="321">
        <f>J5+I6</f>
        <v>9.5698293770365601E-3</v>
      </c>
      <c r="K6" s="315">
        <f t="shared" si="3"/>
        <v>1.8081166190879606E-2</v>
      </c>
      <c r="L6" s="353">
        <f>L5+K6</f>
        <v>2.7651750286321296E-2</v>
      </c>
      <c r="M6" s="355">
        <f t="shared" si="4"/>
        <v>1.8081920909284736E-2</v>
      </c>
      <c r="O6" s="111">
        <f t="shared" si="5"/>
        <v>0.13636363636363635</v>
      </c>
      <c r="Q6">
        <v>3</v>
      </c>
      <c r="R6" s="285"/>
      <c r="S6" s="285">
        <f t="shared" si="0"/>
        <v>0</v>
      </c>
      <c r="T6" s="286">
        <f t="shared" ref="T6:T25" si="8">R6+T5</f>
        <v>5072</v>
      </c>
      <c r="U6" s="287">
        <v>17682.2</v>
      </c>
      <c r="V6" s="288">
        <f t="shared" ref="V6:V9" si="9">U6+V5</f>
        <v>32337.599999999999</v>
      </c>
      <c r="W6" s="289">
        <f t="shared" si="6"/>
        <v>27265.599999999999</v>
      </c>
      <c r="X6" s="301">
        <f t="shared" si="7"/>
        <v>5.3757097791798101</v>
      </c>
      <c r="Y6" s="305">
        <f t="shared" si="1"/>
        <v>3.3362704457932942E-2</v>
      </c>
    </row>
    <row r="7" spans="1:26" x14ac:dyDescent="0.2">
      <c r="A7" s="213"/>
      <c r="B7" s="213" t="s">
        <v>285</v>
      </c>
      <c r="C7" s="213" t="s">
        <v>286</v>
      </c>
      <c r="D7" s="213">
        <v>4</v>
      </c>
      <c r="E7" s="213" t="s">
        <v>290</v>
      </c>
      <c r="F7" s="315">
        <v>7.0000000000000007E-2</v>
      </c>
      <c r="G7" s="315">
        <v>0.19</v>
      </c>
      <c r="H7" s="313"/>
      <c r="I7" s="321">
        <f t="shared" si="2"/>
        <v>5.1940555543913726E-2</v>
      </c>
      <c r="J7" s="321">
        <f>J6+I7</f>
        <v>6.151038492095029E-2</v>
      </c>
      <c r="K7" s="315">
        <f t="shared" si="3"/>
        <v>3.3362704457932942E-2</v>
      </c>
      <c r="L7" s="353">
        <f>L6+K7</f>
        <v>6.1014454744254237E-2</v>
      </c>
      <c r="M7" s="355">
        <f t="shared" si="4"/>
        <v>-4.9593017669605222E-4</v>
      </c>
      <c r="O7" s="111">
        <f t="shared" si="5"/>
        <v>0.18181818181818182</v>
      </c>
      <c r="Q7">
        <v>4</v>
      </c>
      <c r="R7" s="285">
        <v>27265</v>
      </c>
      <c r="S7" s="285">
        <f t="shared" si="0"/>
        <v>22.720833333333335</v>
      </c>
      <c r="T7" s="286">
        <f t="shared" si="8"/>
        <v>32337</v>
      </c>
      <c r="U7" s="285"/>
      <c r="V7" s="288">
        <f t="shared" si="9"/>
        <v>32337.599999999999</v>
      </c>
      <c r="W7" s="289">
        <f t="shared" si="6"/>
        <v>0.59999999999854481</v>
      </c>
      <c r="X7" s="301">
        <f t="shared" si="7"/>
        <v>1.8554596901337316E-5</v>
      </c>
      <c r="Y7" s="305">
        <f t="shared" si="1"/>
        <v>0</v>
      </c>
    </row>
    <row r="8" spans="1:26" ht="43" x14ac:dyDescent="0.2">
      <c r="A8" s="213"/>
      <c r="B8" s="213" t="s">
        <v>291</v>
      </c>
      <c r="C8" s="213" t="s">
        <v>286</v>
      </c>
      <c r="D8" s="213">
        <v>5</v>
      </c>
      <c r="E8" s="213" t="s">
        <v>292</v>
      </c>
      <c r="F8" s="315">
        <v>0.1</v>
      </c>
      <c r="G8" s="315">
        <v>0.28999999999999998</v>
      </c>
      <c r="H8" s="313" t="s">
        <v>293</v>
      </c>
      <c r="I8" s="321">
        <f t="shared" si="2"/>
        <v>0</v>
      </c>
      <c r="J8" s="321">
        <f t="shared" ref="J8:L17" si="10">J7+I8</f>
        <v>6.151038492095029E-2</v>
      </c>
      <c r="K8" s="315">
        <f t="shared" si="3"/>
        <v>0</v>
      </c>
      <c r="L8" s="353">
        <f t="shared" si="10"/>
        <v>6.1014454744254237E-2</v>
      </c>
      <c r="M8" s="355">
        <f t="shared" si="4"/>
        <v>-4.9593017669605222E-4</v>
      </c>
      <c r="O8" s="111">
        <f t="shared" si="5"/>
        <v>0.22727272727272727</v>
      </c>
      <c r="Q8">
        <v>5</v>
      </c>
      <c r="R8" s="285"/>
      <c r="S8" s="285">
        <f t="shared" si="0"/>
        <v>0</v>
      </c>
      <c r="T8" s="286">
        <f t="shared" si="8"/>
        <v>32337</v>
      </c>
      <c r="U8" s="287">
        <v>11678</v>
      </c>
      <c r="V8" s="288">
        <f t="shared" si="9"/>
        <v>44015.6</v>
      </c>
      <c r="W8" s="289">
        <f t="shared" si="6"/>
        <v>11678.599999999999</v>
      </c>
      <c r="X8" s="301">
        <f t="shared" si="7"/>
        <v>0.36115285895413918</v>
      </c>
      <c r="Y8" s="305">
        <f t="shared" si="1"/>
        <v>2.203400383774309E-2</v>
      </c>
    </row>
    <row r="9" spans="1:26" x14ac:dyDescent="0.2">
      <c r="A9" s="213"/>
      <c r="B9" s="213" t="s">
        <v>291</v>
      </c>
      <c r="C9" s="213" t="s">
        <v>286</v>
      </c>
      <c r="D9" s="213">
        <v>6</v>
      </c>
      <c r="E9" s="213" t="s">
        <v>294</v>
      </c>
      <c r="F9" s="315">
        <v>0.09</v>
      </c>
      <c r="G9" s="315">
        <v>0.38</v>
      </c>
      <c r="H9" s="313"/>
      <c r="I9" s="321">
        <f t="shared" si="2"/>
        <v>2.3465725733529987E-2</v>
      </c>
      <c r="J9" s="321">
        <f t="shared" si="10"/>
        <v>8.4976110654480269E-2</v>
      </c>
      <c r="K9" s="315">
        <f t="shared" si="3"/>
        <v>2.203400383774309E-2</v>
      </c>
      <c r="L9" s="353">
        <f t="shared" si="10"/>
        <v>8.3048458581997331E-2</v>
      </c>
      <c r="M9" s="355">
        <f t="shared" si="4"/>
        <v>-1.9276520724829382E-3</v>
      </c>
      <c r="O9" s="111">
        <f t="shared" si="5"/>
        <v>0.27272727272727271</v>
      </c>
      <c r="Q9">
        <v>6</v>
      </c>
      <c r="R9" s="285">
        <v>11678</v>
      </c>
      <c r="S9" s="285">
        <f t="shared" si="0"/>
        <v>9.7316666666666674</v>
      </c>
      <c r="T9" s="286">
        <f t="shared" si="8"/>
        <v>44015</v>
      </c>
      <c r="U9" s="285">
        <v>17785</v>
      </c>
      <c r="V9" s="288">
        <f t="shared" si="9"/>
        <v>61800.6</v>
      </c>
      <c r="W9" s="289">
        <f t="shared" ref="W9" si="11">V9-T9</f>
        <v>17785.599999999999</v>
      </c>
      <c r="X9" s="301">
        <f t="shared" si="7"/>
        <v>0.40408042712711573</v>
      </c>
      <c r="Y9" s="305">
        <f t="shared" si="1"/>
        <v>3.3556667088051106E-2</v>
      </c>
    </row>
    <row r="10" spans="1:26" x14ac:dyDescent="0.2">
      <c r="A10" s="213"/>
      <c r="B10" s="213" t="s">
        <v>291</v>
      </c>
      <c r="C10" s="213" t="s">
        <v>286</v>
      </c>
      <c r="D10" s="213">
        <v>7</v>
      </c>
      <c r="E10" s="213" t="s">
        <v>294</v>
      </c>
      <c r="F10" s="315">
        <v>0.1</v>
      </c>
      <c r="G10" s="315">
        <v>0.48</v>
      </c>
      <c r="H10" s="313"/>
      <c r="I10" s="321">
        <f t="shared" si="2"/>
        <v>0</v>
      </c>
      <c r="J10" s="321">
        <f t="shared" si="10"/>
        <v>8.4976110654480269E-2</v>
      </c>
      <c r="K10" s="315">
        <f t="shared" si="3"/>
        <v>3.3556667088051106E-2</v>
      </c>
      <c r="L10" s="353">
        <f t="shared" si="10"/>
        <v>0.11660512567004844</v>
      </c>
      <c r="M10" s="355">
        <f t="shared" si="4"/>
        <v>3.1629015015568168E-2</v>
      </c>
      <c r="O10" s="111">
        <f t="shared" si="5"/>
        <v>0.31818181818181818</v>
      </c>
      <c r="Q10">
        <v>7</v>
      </c>
      <c r="R10" s="285">
        <v>0</v>
      </c>
      <c r="S10" s="285">
        <f t="shared" si="0"/>
        <v>0</v>
      </c>
      <c r="T10" s="286">
        <f t="shared" si="8"/>
        <v>44015</v>
      </c>
      <c r="U10" s="295">
        <v>6305</v>
      </c>
      <c r="V10" s="288">
        <f t="shared" ref="V10" si="12">U10+V9</f>
        <v>68105.600000000006</v>
      </c>
      <c r="W10" s="289">
        <f t="shared" ref="W10" si="13">V10-T10</f>
        <v>24090.600000000006</v>
      </c>
      <c r="X10" s="301">
        <f t="shared" si="7"/>
        <v>0.54732704759741013</v>
      </c>
      <c r="Y10" s="305">
        <f t="shared" si="1"/>
        <v>1.1896248860846908E-2</v>
      </c>
      <c r="Z10" s="290"/>
    </row>
    <row r="11" spans="1:26" ht="85" x14ac:dyDescent="0.2">
      <c r="A11" s="213"/>
      <c r="B11" s="213" t="s">
        <v>291</v>
      </c>
      <c r="C11" s="213" t="s">
        <v>286</v>
      </c>
      <c r="D11" s="213">
        <v>8</v>
      </c>
      <c r="E11" s="213" t="s">
        <v>295</v>
      </c>
      <c r="F11" s="315">
        <v>0.1</v>
      </c>
      <c r="G11" s="315">
        <v>0.57999999999999996</v>
      </c>
      <c r="H11" s="313" t="s">
        <v>296</v>
      </c>
      <c r="I11" s="321">
        <f t="shared" si="2"/>
        <v>4.9569533153354842E-2</v>
      </c>
      <c r="J11" s="321">
        <f t="shared" si="10"/>
        <v>0.13454564380783512</v>
      </c>
      <c r="K11" s="315">
        <f t="shared" si="3"/>
        <v>1.1896248860846908E-2</v>
      </c>
      <c r="L11" s="353">
        <f t="shared" si="10"/>
        <v>0.12850137453089536</v>
      </c>
      <c r="M11" s="355">
        <f t="shared" si="4"/>
        <v>-6.0442692769397677E-3</v>
      </c>
      <c r="O11" s="111">
        <f t="shared" si="5"/>
        <v>0.36363636363636365</v>
      </c>
      <c r="Q11">
        <v>8</v>
      </c>
      <c r="R11" s="285">
        <v>24090</v>
      </c>
      <c r="S11" s="285">
        <f t="shared" si="0"/>
        <v>20.074999999999999</v>
      </c>
      <c r="T11" s="286">
        <f t="shared" si="8"/>
        <v>68105</v>
      </c>
      <c r="U11" s="285">
        <v>10678</v>
      </c>
      <c r="V11" s="288">
        <f>U11+V10</f>
        <v>78783.600000000006</v>
      </c>
      <c r="W11" s="289">
        <f>V11-T11</f>
        <v>10678.600000000006</v>
      </c>
      <c r="X11" s="301">
        <f t="shared" si="7"/>
        <v>0.15679612363262618</v>
      </c>
      <c r="Y11" s="305">
        <f t="shared" si="1"/>
        <v>2.0147207824920424E-2</v>
      </c>
    </row>
    <row r="12" spans="1:26" x14ac:dyDescent="0.2">
      <c r="A12" s="213"/>
      <c r="B12" s="213" t="s">
        <v>297</v>
      </c>
      <c r="C12" s="213" t="s">
        <v>286</v>
      </c>
      <c r="D12" s="213">
        <v>9</v>
      </c>
      <c r="E12" s="213" t="s">
        <v>113</v>
      </c>
      <c r="F12" s="315">
        <v>0.12</v>
      </c>
      <c r="G12" s="315">
        <v>0.7</v>
      </c>
      <c r="H12" s="313"/>
      <c r="I12" s="321">
        <f t="shared" si="2"/>
        <v>0</v>
      </c>
      <c r="J12" s="321">
        <f t="shared" si="10"/>
        <v>0.13454564380783512</v>
      </c>
      <c r="K12" s="315">
        <f t="shared" si="3"/>
        <v>2.0147207824920424E-2</v>
      </c>
      <c r="L12" s="353">
        <f t="shared" si="10"/>
        <v>0.14864858235581579</v>
      </c>
      <c r="M12" s="355">
        <f t="shared" si="4"/>
        <v>1.410293854798067E-2</v>
      </c>
      <c r="O12" s="111">
        <f t="shared" si="5"/>
        <v>0.40909090909090912</v>
      </c>
      <c r="Q12">
        <v>9</v>
      </c>
      <c r="R12" s="285">
        <v>0</v>
      </c>
      <c r="S12" s="285">
        <f t="shared" si="0"/>
        <v>0</v>
      </c>
      <c r="T12" s="286">
        <f t="shared" si="8"/>
        <v>68105</v>
      </c>
      <c r="U12" s="285">
        <v>5287</v>
      </c>
      <c r="V12" s="288">
        <f t="shared" ref="V12:V13" si="14">U12+V11</f>
        <v>84070.6</v>
      </c>
      <c r="W12" s="289">
        <f t="shared" ref="W12:W13" si="15">V12-T12</f>
        <v>15965.600000000006</v>
      </c>
      <c r="X12" s="301">
        <f t="shared" si="7"/>
        <v>0.23442625357903246</v>
      </c>
      <c r="Y12" s="305">
        <f t="shared" si="1"/>
        <v>9.975490519793434E-3</v>
      </c>
    </row>
    <row r="13" spans="1:26" ht="71" x14ac:dyDescent="0.2">
      <c r="A13" s="213"/>
      <c r="B13" s="213" t="s">
        <v>297</v>
      </c>
      <c r="C13" s="213" t="s">
        <v>286</v>
      </c>
      <c r="D13" s="213">
        <v>10</v>
      </c>
      <c r="E13" s="213" t="s">
        <v>298</v>
      </c>
      <c r="F13" s="315">
        <v>0.11</v>
      </c>
      <c r="G13" s="315">
        <v>0.81</v>
      </c>
      <c r="H13" s="313" t="s">
        <v>299</v>
      </c>
      <c r="I13" s="321">
        <f t="shared" si="2"/>
        <v>3.4564207372254241E-2</v>
      </c>
      <c r="J13" s="321">
        <f t="shared" si="10"/>
        <v>0.16910985118008937</v>
      </c>
      <c r="K13" s="315">
        <f t="shared" si="3"/>
        <v>9.975490519793434E-3</v>
      </c>
      <c r="L13" s="353">
        <f t="shared" si="10"/>
        <v>0.15862407287560923</v>
      </c>
      <c r="M13" s="355">
        <f t="shared" si="4"/>
        <v>-1.0485778304480137E-2</v>
      </c>
      <c r="O13" s="111">
        <f t="shared" si="5"/>
        <v>0.45454545454545453</v>
      </c>
      <c r="Q13">
        <v>10</v>
      </c>
      <c r="R13" s="285">
        <v>15965</v>
      </c>
      <c r="S13" s="285">
        <f t="shared" si="0"/>
        <v>13.304166666666667</v>
      </c>
      <c r="T13" s="286">
        <f t="shared" si="8"/>
        <v>84070</v>
      </c>
      <c r="U13" s="285">
        <v>14738</v>
      </c>
      <c r="V13" s="288">
        <f t="shared" si="14"/>
        <v>98808.6</v>
      </c>
      <c r="W13" s="289">
        <f t="shared" si="15"/>
        <v>14738.600000000006</v>
      </c>
      <c r="X13" s="301">
        <f t="shared" si="7"/>
        <v>0.17531342928511962</v>
      </c>
      <c r="Y13" s="305">
        <f t="shared" si="1"/>
        <v>2.7807599636980446E-2</v>
      </c>
    </row>
    <row r="14" spans="1:26" x14ac:dyDescent="0.2">
      <c r="A14" s="213"/>
      <c r="B14" s="213" t="s">
        <v>297</v>
      </c>
      <c r="C14" s="213" t="s">
        <v>286</v>
      </c>
      <c r="D14" s="213">
        <v>11</v>
      </c>
      <c r="E14" s="213" t="s">
        <v>300</v>
      </c>
      <c r="F14" s="315">
        <v>0.08</v>
      </c>
      <c r="G14" s="315">
        <v>0.89</v>
      </c>
      <c r="H14" s="313"/>
      <c r="I14" s="321">
        <f t="shared" si="2"/>
        <v>0</v>
      </c>
      <c r="J14" s="321">
        <f t="shared" si="10"/>
        <v>0.16910985118008937</v>
      </c>
      <c r="K14" s="315">
        <f t="shared" si="3"/>
        <v>2.7807599636980446E-2</v>
      </c>
      <c r="L14" s="353">
        <f t="shared" si="10"/>
        <v>0.18643167251258969</v>
      </c>
      <c r="M14" s="355">
        <f t="shared" si="4"/>
        <v>1.732182133250032E-2</v>
      </c>
      <c r="O14" s="111">
        <f t="shared" si="5"/>
        <v>0.5</v>
      </c>
      <c r="Q14">
        <v>11</v>
      </c>
      <c r="R14" s="285"/>
      <c r="S14" s="285">
        <f t="shared" si="0"/>
        <v>0</v>
      </c>
      <c r="T14" s="286">
        <f t="shared" si="8"/>
        <v>84070</v>
      </c>
      <c r="U14" s="357">
        <v>20953</v>
      </c>
      <c r="V14" s="358">
        <f t="shared" ref="V14:V17" si="16">U14+V13</f>
        <v>119761.60000000001</v>
      </c>
      <c r="W14" s="359">
        <f t="shared" ref="W14:W25" si="17">V14-T14</f>
        <v>35691.600000000006</v>
      </c>
      <c r="X14" s="301">
        <f t="shared" si="7"/>
        <v>0.42454621149042471</v>
      </c>
      <c r="Y14" s="305">
        <f t="shared" si="1"/>
        <v>3.9534036856673317E-2</v>
      </c>
    </row>
    <row r="15" spans="1:26" ht="71" x14ac:dyDescent="0.2">
      <c r="A15" s="213"/>
      <c r="B15" s="213" t="s">
        <v>297</v>
      </c>
      <c r="C15" s="213" t="s">
        <v>286</v>
      </c>
      <c r="D15" s="213">
        <v>12</v>
      </c>
      <c r="E15" s="213" t="s">
        <v>301</v>
      </c>
      <c r="F15" s="315">
        <v>0.11</v>
      </c>
      <c r="G15" s="315">
        <v>1</v>
      </c>
      <c r="H15" s="313" t="s">
        <v>302</v>
      </c>
      <c r="I15" s="321">
        <f t="shared" si="2"/>
        <v>8.9112840833406218E-2</v>
      </c>
      <c r="J15" s="321">
        <f t="shared" si="10"/>
        <v>0.25822269201349557</v>
      </c>
      <c r="K15" s="315">
        <f t="shared" si="3"/>
        <v>3.9534036856673317E-2</v>
      </c>
      <c r="L15" s="353">
        <f t="shared" si="10"/>
        <v>0.225965709369263</v>
      </c>
      <c r="M15" s="355">
        <f t="shared" si="4"/>
        <v>-3.2256982644232574E-2</v>
      </c>
      <c r="O15" s="111">
        <f t="shared" si="5"/>
        <v>0.54545454545454541</v>
      </c>
      <c r="Q15">
        <v>12</v>
      </c>
      <c r="R15" s="285">
        <v>39738</v>
      </c>
      <c r="S15" s="297">
        <f t="shared" si="0"/>
        <v>33.115000000000002</v>
      </c>
      <c r="T15" s="286">
        <f t="shared" si="8"/>
        <v>123808</v>
      </c>
      <c r="U15" s="112">
        <v>20953</v>
      </c>
      <c r="V15" s="360">
        <f t="shared" si="16"/>
        <v>140714.6</v>
      </c>
      <c r="W15" s="116">
        <f t="shared" si="17"/>
        <v>16906.600000000006</v>
      </c>
      <c r="X15" s="301">
        <f t="shared" si="7"/>
        <v>0.13655498836908767</v>
      </c>
      <c r="Y15" s="305">
        <f t="shared" si="1"/>
        <v>3.9534036856673317E-2</v>
      </c>
    </row>
    <row r="16" spans="1:26" x14ac:dyDescent="0.2">
      <c r="A16" s="213"/>
      <c r="B16" s="213" t="s">
        <v>303</v>
      </c>
      <c r="C16" s="213" t="s">
        <v>286</v>
      </c>
      <c r="D16" s="213">
        <v>13</v>
      </c>
      <c r="E16" s="213"/>
      <c r="F16" s="315"/>
      <c r="G16" s="315"/>
      <c r="H16" s="313"/>
      <c r="I16" s="321">
        <f t="shared" si="2"/>
        <v>0</v>
      </c>
      <c r="J16" s="321">
        <f t="shared" si="10"/>
        <v>0.25822269201349557</v>
      </c>
      <c r="K16" s="315">
        <f t="shared" si="3"/>
        <v>3.9534036856673317E-2</v>
      </c>
      <c r="L16" s="353">
        <f t="shared" si="10"/>
        <v>0.26549974622593631</v>
      </c>
      <c r="M16" s="355">
        <f t="shared" si="4"/>
        <v>7.2770542124407367E-3</v>
      </c>
      <c r="O16" s="111">
        <f t="shared" si="5"/>
        <v>0.59090909090909094</v>
      </c>
      <c r="Q16">
        <v>13</v>
      </c>
      <c r="R16" s="285">
        <v>0</v>
      </c>
      <c r="S16" s="297">
        <f t="shared" si="0"/>
        <v>0</v>
      </c>
      <c r="T16" s="286">
        <f t="shared" si="8"/>
        <v>123808</v>
      </c>
      <c r="U16" s="112">
        <v>22822</v>
      </c>
      <c r="V16" s="360">
        <f t="shared" si="16"/>
        <v>163536.6</v>
      </c>
      <c r="W16" s="116">
        <f t="shared" si="17"/>
        <v>39728.600000000006</v>
      </c>
      <c r="X16" s="301">
        <f t="shared" si="7"/>
        <v>0.32088879555440686</v>
      </c>
      <c r="Y16" s="305">
        <f t="shared" si="1"/>
        <v>4.3060458604638877E-2</v>
      </c>
    </row>
    <row r="17" spans="1:28" ht="43" x14ac:dyDescent="0.2">
      <c r="A17" s="213"/>
      <c r="B17" s="213" t="s">
        <v>303</v>
      </c>
      <c r="C17" s="213" t="s">
        <v>286</v>
      </c>
      <c r="D17" s="213">
        <v>14</v>
      </c>
      <c r="E17" s="213"/>
      <c r="F17" s="315"/>
      <c r="G17" s="315"/>
      <c r="H17" s="313" t="s">
        <v>304</v>
      </c>
      <c r="I17" s="321">
        <f t="shared" si="2"/>
        <v>7.434925933858702E-2</v>
      </c>
      <c r="J17" s="321">
        <f t="shared" si="10"/>
        <v>0.33257195135208262</v>
      </c>
      <c r="K17" s="315">
        <f t="shared" si="3"/>
        <v>4.3060458604638877E-2</v>
      </c>
      <c r="L17" s="353">
        <f t="shared" si="10"/>
        <v>0.30856020483057517</v>
      </c>
      <c r="M17" s="355">
        <f t="shared" si="4"/>
        <v>-2.4011746521507449E-2</v>
      </c>
      <c r="O17" s="111">
        <f t="shared" si="5"/>
        <v>0.63636363636363635</v>
      </c>
      <c r="Q17">
        <v>14</v>
      </c>
      <c r="R17" s="285">
        <v>30200</v>
      </c>
      <c r="S17" s="297">
        <f t="shared" si="0"/>
        <v>25.166666666666668</v>
      </c>
      <c r="T17" s="286">
        <f t="shared" si="8"/>
        <v>154008</v>
      </c>
      <c r="U17" s="112">
        <v>4767</v>
      </c>
      <c r="V17" s="360">
        <f t="shared" si="16"/>
        <v>168303.6</v>
      </c>
      <c r="W17" s="116">
        <f t="shared" si="17"/>
        <v>14295.600000000006</v>
      </c>
      <c r="X17" s="301">
        <f t="shared" si="7"/>
        <v>9.2823749415614817E-2</v>
      </c>
      <c r="Y17" s="305">
        <f t="shared" si="1"/>
        <v>8.9943565931256478E-3</v>
      </c>
    </row>
    <row r="18" spans="1:28" x14ac:dyDescent="0.2">
      <c r="A18" s="213"/>
      <c r="B18" s="213" t="s">
        <v>303</v>
      </c>
      <c r="C18" s="213" t="s">
        <v>286</v>
      </c>
      <c r="D18" s="213">
        <v>15</v>
      </c>
      <c r="E18" s="213"/>
      <c r="F18" s="315"/>
      <c r="G18" s="315"/>
      <c r="H18" s="313"/>
      <c r="I18" s="321">
        <f t="shared" si="2"/>
        <v>0</v>
      </c>
      <c r="J18" s="321">
        <f t="shared" ref="J18:J25" si="18">J17+I18</f>
        <v>0.33257195135208262</v>
      </c>
      <c r="K18" s="315">
        <f>Y17</f>
        <v>8.9943565931256478E-3</v>
      </c>
      <c r="L18" s="353">
        <f t="shared" ref="L18:L25" si="19">L17+K18</f>
        <v>0.31755456142370081</v>
      </c>
      <c r="M18" s="355">
        <f t="shared" si="4"/>
        <v>-1.5017389928381808E-2</v>
      </c>
      <c r="O18" s="111">
        <f t="shared" si="5"/>
        <v>0.68181818181818177</v>
      </c>
      <c r="Q18">
        <v>15</v>
      </c>
      <c r="R18" s="285"/>
      <c r="S18" s="297"/>
      <c r="T18" s="286">
        <f t="shared" si="8"/>
        <v>154008</v>
      </c>
      <c r="U18" s="112"/>
      <c r="V18" s="360"/>
      <c r="W18" s="116">
        <f t="shared" si="17"/>
        <v>-154008</v>
      </c>
      <c r="X18" s="301">
        <f t="shared" si="7"/>
        <v>-1</v>
      </c>
      <c r="Y18" s="305">
        <f t="shared" si="1"/>
        <v>0</v>
      </c>
    </row>
    <row r="19" spans="1:28" x14ac:dyDescent="0.2">
      <c r="A19" s="213"/>
      <c r="B19" s="213" t="s">
        <v>303</v>
      </c>
      <c r="C19" s="213" t="s">
        <v>286</v>
      </c>
      <c r="D19" s="213">
        <v>16</v>
      </c>
      <c r="E19" s="213"/>
      <c r="F19" s="315"/>
      <c r="G19" s="315"/>
      <c r="H19" s="361" t="s">
        <v>305</v>
      </c>
      <c r="I19" s="321">
        <f t="shared" si="2"/>
        <v>8.3124330103646102E-2</v>
      </c>
      <c r="J19" s="321">
        <f t="shared" si="18"/>
        <v>0.41569628145572873</v>
      </c>
      <c r="K19" s="315">
        <f>Y19</f>
        <v>6.9811452474438637E-2</v>
      </c>
      <c r="L19" s="353">
        <f t="shared" si="19"/>
        <v>0.38736601389813946</v>
      </c>
      <c r="M19" s="355">
        <f t="shared" si="4"/>
        <v>-2.8330267557589273E-2</v>
      </c>
      <c r="O19" s="111">
        <f t="shared" si="5"/>
        <v>0.72727272727272729</v>
      </c>
      <c r="Q19">
        <v>16</v>
      </c>
      <c r="R19" s="285">
        <v>31254</v>
      </c>
      <c r="S19" s="297">
        <f t="shared" si="0"/>
        <v>26.045000000000002</v>
      </c>
      <c r="T19" s="286">
        <f t="shared" si="8"/>
        <v>185262</v>
      </c>
      <c r="U19" s="112">
        <v>37000</v>
      </c>
      <c r="V19" s="360">
        <f>U19+V17</f>
        <v>205303.6</v>
      </c>
      <c r="W19" s="116">
        <f t="shared" si="17"/>
        <v>20041.600000000006</v>
      </c>
      <c r="X19" s="301">
        <f t="shared" si="7"/>
        <v>0.10817976703263489</v>
      </c>
      <c r="Y19" s="305">
        <f t="shared" si="1"/>
        <v>6.9811452474438637E-2</v>
      </c>
    </row>
    <row r="20" spans="1:28" x14ac:dyDescent="0.2">
      <c r="A20" s="213"/>
      <c r="B20" s="213" t="s">
        <v>306</v>
      </c>
      <c r="C20" s="213" t="s">
        <v>286</v>
      </c>
      <c r="D20" s="213">
        <v>17</v>
      </c>
      <c r="E20" s="213"/>
      <c r="F20" s="315"/>
      <c r="G20" s="315"/>
      <c r="H20" s="313"/>
      <c r="I20" s="321">
        <f t="shared" si="2"/>
        <v>0</v>
      </c>
      <c r="J20" s="321">
        <f t="shared" si="18"/>
        <v>0.41569628145572873</v>
      </c>
      <c r="K20" s="315">
        <f>Y21</f>
        <v>3.7662335211953231E-2</v>
      </c>
      <c r="L20" s="353">
        <f t="shared" si="19"/>
        <v>0.42502834911009268</v>
      </c>
      <c r="M20" s="355">
        <f t="shared" si="4"/>
        <v>9.3320676543639514E-3</v>
      </c>
      <c r="O20" s="111">
        <f t="shared" si="5"/>
        <v>0.77272727272727271</v>
      </c>
      <c r="Q20">
        <v>17</v>
      </c>
      <c r="R20" s="285"/>
      <c r="S20" s="297"/>
      <c r="T20" s="286">
        <f t="shared" si="8"/>
        <v>185262</v>
      </c>
      <c r="U20" s="112"/>
      <c r="V20" s="360"/>
      <c r="W20" s="116">
        <f t="shared" si="17"/>
        <v>-185262</v>
      </c>
      <c r="X20" s="301">
        <f t="shared" si="7"/>
        <v>-1</v>
      </c>
      <c r="Y20" s="305">
        <f t="shared" si="1"/>
        <v>0</v>
      </c>
    </row>
    <row r="21" spans="1:28" x14ac:dyDescent="0.2">
      <c r="A21" s="213"/>
      <c r="B21" s="213" t="s">
        <v>306</v>
      </c>
      <c r="C21" s="213" t="s">
        <v>286</v>
      </c>
      <c r="D21" s="213">
        <v>18</v>
      </c>
      <c r="E21" s="213"/>
      <c r="F21" s="315"/>
      <c r="G21" s="315"/>
      <c r="H21" s="361" t="s">
        <v>307</v>
      </c>
      <c r="I21" s="321">
        <f t="shared" si="2"/>
        <v>0.24673591752553395</v>
      </c>
      <c r="J21" s="321">
        <f t="shared" si="18"/>
        <v>0.66243219898126271</v>
      </c>
      <c r="K21" s="315">
        <f>Y23</f>
        <v>0</v>
      </c>
      <c r="L21" s="353">
        <f t="shared" si="19"/>
        <v>0.42502834911009268</v>
      </c>
      <c r="M21" s="355">
        <f t="shared" si="4"/>
        <v>-0.23740384987117003</v>
      </c>
      <c r="O21" s="111">
        <f t="shared" si="5"/>
        <v>0.81818181818181823</v>
      </c>
      <c r="Q21">
        <v>18</v>
      </c>
      <c r="R21" s="285">
        <v>85059</v>
      </c>
      <c r="S21" s="297">
        <f t="shared" si="0"/>
        <v>70.882499999999993</v>
      </c>
      <c r="T21" s="286">
        <f t="shared" si="8"/>
        <v>270321</v>
      </c>
      <c r="U21" s="112">
        <v>19961</v>
      </c>
      <c r="V21" s="360">
        <f>U21+V19</f>
        <v>225264.6</v>
      </c>
      <c r="W21" s="116">
        <f t="shared" si="17"/>
        <v>-45056.399999999994</v>
      </c>
      <c r="X21" s="301">
        <f t="shared" si="7"/>
        <v>-0.16667739465302361</v>
      </c>
      <c r="Y21" s="305">
        <f t="shared" si="1"/>
        <v>3.7662335211953231E-2</v>
      </c>
      <c r="AA21">
        <f>1000*12</f>
        <v>12000</v>
      </c>
      <c r="AB21">
        <f>R21-AA21</f>
        <v>73059</v>
      </c>
    </row>
    <row r="22" spans="1:28" x14ac:dyDescent="0.2">
      <c r="A22" s="213"/>
      <c r="B22" s="213" t="s">
        <v>306</v>
      </c>
      <c r="C22" s="213" t="s">
        <v>286</v>
      </c>
      <c r="D22" s="213">
        <v>19</v>
      </c>
      <c r="E22" s="213"/>
      <c r="F22" s="315"/>
      <c r="G22" s="315"/>
      <c r="H22" s="313"/>
      <c r="I22" s="321">
        <f t="shared" si="2"/>
        <v>0</v>
      </c>
      <c r="J22" s="366">
        <f t="shared" si="18"/>
        <v>0.66243219898126271</v>
      </c>
      <c r="K22" s="367">
        <f>Y24</f>
        <v>0</v>
      </c>
      <c r="L22" s="368">
        <f t="shared" si="19"/>
        <v>0.42502834911009268</v>
      </c>
      <c r="M22" s="355">
        <f t="shared" si="4"/>
        <v>-0.23740384987117003</v>
      </c>
      <c r="O22" s="111">
        <f t="shared" si="5"/>
        <v>0.86363636363636365</v>
      </c>
      <c r="Q22">
        <v>19</v>
      </c>
      <c r="R22" s="285"/>
      <c r="S22" s="297"/>
      <c r="T22" s="286">
        <f t="shared" si="8"/>
        <v>270321</v>
      </c>
      <c r="U22" s="112"/>
      <c r="V22" s="360"/>
      <c r="W22" s="116">
        <f t="shared" si="17"/>
        <v>-270321</v>
      </c>
      <c r="X22" s="301">
        <f t="shared" si="7"/>
        <v>-1</v>
      </c>
      <c r="Y22" s="305">
        <f t="shared" si="1"/>
        <v>0</v>
      </c>
      <c r="AA22">
        <f t="shared" ref="AA22:AA25" si="20">1000*12</f>
        <v>12000</v>
      </c>
      <c r="AB22">
        <f t="shared" ref="AB22:AB25" si="21">R22-AA22</f>
        <v>-12000</v>
      </c>
    </row>
    <row r="23" spans="1:28" x14ac:dyDescent="0.2">
      <c r="A23" s="213"/>
      <c r="B23" s="213" t="s">
        <v>306</v>
      </c>
      <c r="C23" s="213" t="s">
        <v>286</v>
      </c>
      <c r="D23" s="213">
        <v>20</v>
      </c>
      <c r="E23" s="213"/>
      <c r="F23" s="315"/>
      <c r="G23" s="315"/>
      <c r="H23" s="361" t="s">
        <v>308</v>
      </c>
      <c r="I23" s="321">
        <f t="shared" si="2"/>
        <v>0.30807384530071857</v>
      </c>
      <c r="J23" s="366">
        <f t="shared" si="18"/>
        <v>0.97050604428198128</v>
      </c>
      <c r="K23" s="367">
        <f>Y25</f>
        <v>0</v>
      </c>
      <c r="L23" s="368">
        <f t="shared" si="19"/>
        <v>0.42502834911009268</v>
      </c>
      <c r="M23" s="355">
        <f t="shared" si="4"/>
        <v>-0.5454776951718886</v>
      </c>
      <c r="O23" s="111">
        <f t="shared" si="5"/>
        <v>0.90909090909090906</v>
      </c>
      <c r="Q23">
        <v>20</v>
      </c>
      <c r="R23" s="285">
        <v>80000</v>
      </c>
      <c r="S23" s="297">
        <f t="shared" si="0"/>
        <v>66.666666666666671</v>
      </c>
      <c r="T23" s="286">
        <f t="shared" si="8"/>
        <v>350321</v>
      </c>
      <c r="U23" s="112"/>
      <c r="V23" s="360">
        <f>U23+V21</f>
        <v>225264.6</v>
      </c>
      <c r="W23" s="116">
        <f t="shared" si="17"/>
        <v>-125056.4</v>
      </c>
      <c r="X23" s="301">
        <f t="shared" ref="X23:X25" si="22">W23/T23</f>
        <v>-0.35697660145980398</v>
      </c>
      <c r="Y23" s="305">
        <f t="shared" si="1"/>
        <v>0</v>
      </c>
      <c r="AA23">
        <f t="shared" si="20"/>
        <v>12000</v>
      </c>
      <c r="AB23">
        <f t="shared" si="21"/>
        <v>68000</v>
      </c>
    </row>
    <row r="24" spans="1:28" x14ac:dyDescent="0.2">
      <c r="A24" s="213"/>
      <c r="B24" s="213" t="s">
        <v>309</v>
      </c>
      <c r="C24" s="213" t="s">
        <v>286</v>
      </c>
      <c r="D24" s="213">
        <v>21</v>
      </c>
      <c r="E24" s="213"/>
      <c r="F24" s="315"/>
      <c r="G24" s="315"/>
      <c r="H24" s="313"/>
      <c r="I24" s="321">
        <f t="shared" si="2"/>
        <v>0.50089604737363502</v>
      </c>
      <c r="J24" s="321">
        <f t="shared" si="18"/>
        <v>1.4714020916556163</v>
      </c>
      <c r="K24" s="315">
        <f>Y26</f>
        <v>0</v>
      </c>
      <c r="L24" s="353">
        <f t="shared" si="19"/>
        <v>0.42502834911009268</v>
      </c>
      <c r="M24" s="355">
        <f t="shared" si="4"/>
        <v>-1.0463737425455237</v>
      </c>
      <c r="O24" s="111">
        <f t="shared" si="5"/>
        <v>0.95454545454545459</v>
      </c>
      <c r="Q24">
        <v>21</v>
      </c>
      <c r="R24" s="285">
        <v>90000</v>
      </c>
      <c r="S24" s="297"/>
      <c r="T24" s="286">
        <f t="shared" si="8"/>
        <v>440321</v>
      </c>
      <c r="U24" s="112"/>
      <c r="V24" s="360"/>
      <c r="W24" s="116">
        <f t="shared" si="17"/>
        <v>-440321</v>
      </c>
      <c r="X24" s="301">
        <f t="shared" si="22"/>
        <v>-1</v>
      </c>
      <c r="Y24" s="305">
        <f t="shared" si="1"/>
        <v>0</v>
      </c>
      <c r="AA24">
        <f t="shared" si="20"/>
        <v>12000</v>
      </c>
      <c r="AB24">
        <f t="shared" si="21"/>
        <v>78000</v>
      </c>
    </row>
    <row r="25" spans="1:28" x14ac:dyDescent="0.2">
      <c r="A25" s="213"/>
      <c r="B25" s="213" t="s">
        <v>309</v>
      </c>
      <c r="C25" s="213" t="s">
        <v>286</v>
      </c>
      <c r="D25" s="213">
        <v>22</v>
      </c>
      <c r="E25" s="213"/>
      <c r="F25" s="315"/>
      <c r="G25" s="315"/>
      <c r="H25" s="361" t="s">
        <v>310</v>
      </c>
      <c r="I25" s="321">
        <f t="shared" si="2"/>
        <v>1</v>
      </c>
      <c r="J25" s="366">
        <f t="shared" si="18"/>
        <v>2.4714020916556163</v>
      </c>
      <c r="K25" s="367">
        <f>Y27</f>
        <v>0</v>
      </c>
      <c r="L25" s="368">
        <f t="shared" si="19"/>
        <v>0.42502834911009268</v>
      </c>
      <c r="M25" s="355">
        <f t="shared" si="4"/>
        <v>-2.0463737425455237</v>
      </c>
      <c r="O25" s="111">
        <f t="shared" si="5"/>
        <v>1</v>
      </c>
      <c r="Q25">
        <v>22</v>
      </c>
      <c r="R25" s="285">
        <v>89678</v>
      </c>
      <c r="S25" s="297">
        <f t="shared" ref="S25" si="23">R25/1200</f>
        <v>74.731666666666669</v>
      </c>
      <c r="T25" s="286">
        <f t="shared" si="8"/>
        <v>529999</v>
      </c>
      <c r="U25" s="112"/>
      <c r="V25" s="360">
        <f>U25+V23</f>
        <v>225264.6</v>
      </c>
      <c r="W25" s="116">
        <f t="shared" si="17"/>
        <v>-304734.40000000002</v>
      </c>
      <c r="X25" s="301">
        <f t="shared" si="22"/>
        <v>-0.57497165088990743</v>
      </c>
      <c r="Y25" s="305">
        <f t="shared" si="1"/>
        <v>0</v>
      </c>
      <c r="AA25">
        <f t="shared" si="20"/>
        <v>12000</v>
      </c>
      <c r="AB25">
        <f t="shared" si="21"/>
        <v>77678</v>
      </c>
    </row>
    <row r="26" spans="1:28" x14ac:dyDescent="0.2">
      <c r="H26"/>
      <c r="K26"/>
    </row>
    <row r="27" spans="1:28" x14ac:dyDescent="0.2">
      <c r="H27"/>
      <c r="K27"/>
    </row>
    <row r="28" spans="1:28" x14ac:dyDescent="0.2">
      <c r="E28" s="306"/>
      <c r="F28" s="307"/>
      <c r="G28" s="308"/>
      <c r="H28" s="314"/>
      <c r="I28" s="307"/>
      <c r="J28" s="308"/>
      <c r="K28" s="317"/>
      <c r="L28" s="309"/>
    </row>
    <row r="29" spans="1:28" x14ac:dyDescent="0.2">
      <c r="E29" s="306"/>
      <c r="F29" s="307"/>
      <c r="G29" s="308"/>
      <c r="H29" s="314"/>
      <c r="I29" s="307"/>
      <c r="J29" s="308"/>
      <c r="K29" s="317"/>
      <c r="L29" s="309"/>
    </row>
    <row r="30" spans="1:28" x14ac:dyDescent="0.2">
      <c r="D30" s="306"/>
      <c r="E30" s="306"/>
      <c r="F30" s="307"/>
      <c r="G30" s="308"/>
      <c r="H30" s="314"/>
      <c r="I30" s="307"/>
      <c r="J30" s="308"/>
      <c r="K30" s="317"/>
      <c r="L30" s="309"/>
    </row>
    <row r="31" spans="1:28" x14ac:dyDescent="0.2">
      <c r="D31" s="306"/>
      <c r="E31" s="306"/>
      <c r="F31" s="307"/>
      <c r="G31" s="308"/>
      <c r="H31" s="314"/>
      <c r="I31" s="307"/>
      <c r="J31" s="308"/>
      <c r="K31" s="317"/>
      <c r="L31" s="309"/>
    </row>
    <row r="32" spans="1:28" x14ac:dyDescent="0.2">
      <c r="D32" s="306"/>
      <c r="E32" s="306"/>
      <c r="F32" s="307"/>
      <c r="G32" s="308"/>
      <c r="H32" s="314"/>
      <c r="I32" s="307"/>
      <c r="J32" s="308"/>
      <c r="K32" s="317"/>
      <c r="L32" s="309"/>
    </row>
    <row r="33" spans="4:12" x14ac:dyDescent="0.2">
      <c r="D33" s="306"/>
      <c r="E33" s="306"/>
      <c r="F33" s="307"/>
      <c r="G33" s="308"/>
      <c r="H33" s="314"/>
      <c r="I33" s="307"/>
      <c r="J33" s="308"/>
      <c r="K33" s="317"/>
      <c r="L33" s="309"/>
    </row>
    <row r="34" spans="4:12" x14ac:dyDescent="0.2">
      <c r="D34" s="306"/>
      <c r="E34" s="306"/>
      <c r="F34" s="307"/>
      <c r="G34" s="308"/>
      <c r="H34" s="314"/>
      <c r="I34" s="307"/>
      <c r="J34" s="308"/>
      <c r="K34" s="317"/>
      <c r="L34" s="309"/>
    </row>
    <row r="37" spans="4:12" x14ac:dyDescent="0.2">
      <c r="D37" s="484" t="s">
        <v>311</v>
      </c>
      <c r="E37" s="484"/>
      <c r="F37" s="484"/>
      <c r="G37" s="484" t="s">
        <v>312</v>
      </c>
      <c r="H37" s="484"/>
      <c r="I37" s="484"/>
      <c r="J37" s="484"/>
    </row>
    <row r="39" spans="4:12" x14ac:dyDescent="0.2">
      <c r="D39" s="482" t="s">
        <v>313</v>
      </c>
      <c r="E39" s="482"/>
      <c r="F39" s="482"/>
      <c r="G39" s="483" t="s">
        <v>314</v>
      </c>
      <c r="H39" s="483"/>
      <c r="I39" s="483"/>
      <c r="J39" s="483"/>
    </row>
    <row r="40" spans="4:12" x14ac:dyDescent="0.2">
      <c r="D40" s="482"/>
      <c r="E40" s="482"/>
      <c r="F40" s="482"/>
      <c r="G40" s="483" t="s">
        <v>315</v>
      </c>
      <c r="H40" s="483"/>
      <c r="I40" s="483"/>
      <c r="J40" s="483"/>
    </row>
    <row r="41" spans="4:12" x14ac:dyDescent="0.2">
      <c r="D41" s="482"/>
      <c r="E41" s="482"/>
      <c r="F41" s="482"/>
      <c r="G41" s="483" t="s">
        <v>316</v>
      </c>
      <c r="H41" s="483"/>
      <c r="I41" s="483"/>
      <c r="J41" s="483"/>
    </row>
    <row r="44" spans="4:12" x14ac:dyDescent="0.2">
      <c r="D44" s="482" t="s">
        <v>317</v>
      </c>
      <c r="E44" s="482"/>
      <c r="F44" s="482"/>
      <c r="G44" s="483" t="s">
        <v>318</v>
      </c>
      <c r="H44" s="483"/>
      <c r="I44" s="483"/>
      <c r="J44" s="483"/>
    </row>
    <row r="45" spans="4:12" x14ac:dyDescent="0.2">
      <c r="D45" s="482"/>
      <c r="E45" s="482"/>
      <c r="F45" s="482"/>
      <c r="G45" s="483" t="s">
        <v>319</v>
      </c>
      <c r="H45" s="483"/>
      <c r="I45" s="483"/>
      <c r="J45" s="483"/>
    </row>
    <row r="46" spans="4:12" x14ac:dyDescent="0.2">
      <c r="D46" s="482"/>
      <c r="E46" s="482"/>
      <c r="F46" s="482"/>
      <c r="G46" s="483"/>
      <c r="H46" s="483"/>
      <c r="I46" s="483"/>
      <c r="J46" s="483"/>
    </row>
    <row r="48" spans="4:12" x14ac:dyDescent="0.2">
      <c r="E48" s="299" t="s">
        <v>320</v>
      </c>
      <c r="F48" s="299"/>
    </row>
    <row r="49" spans="4:10" x14ac:dyDescent="0.2">
      <c r="E49" s="299">
        <f>50000/5</f>
        <v>10000</v>
      </c>
      <c r="F49" s="299"/>
    </row>
    <row r="50" spans="4:10" x14ac:dyDescent="0.2">
      <c r="E50" s="299">
        <f>38*E49</f>
        <v>380000</v>
      </c>
      <c r="F50" s="300">
        <f>E50*4300</f>
        <v>1634000000</v>
      </c>
    </row>
    <row r="52" spans="4:10" x14ac:dyDescent="0.2">
      <c r="D52" s="482" t="s">
        <v>321</v>
      </c>
      <c r="E52" s="482"/>
      <c r="F52" s="482"/>
      <c r="G52" s="483" t="s">
        <v>322</v>
      </c>
      <c r="H52" s="483"/>
      <c r="I52" s="483"/>
      <c r="J52" s="483"/>
    </row>
    <row r="53" spans="4:10" x14ac:dyDescent="0.2">
      <c r="D53" s="482"/>
      <c r="E53" s="482"/>
      <c r="F53" s="482"/>
      <c r="G53" s="483" t="s">
        <v>323</v>
      </c>
      <c r="H53" s="483"/>
      <c r="I53" s="483"/>
      <c r="J53" s="483"/>
    </row>
    <row r="54" spans="4:10" x14ac:dyDescent="0.2">
      <c r="D54" s="482"/>
      <c r="E54" s="482"/>
      <c r="F54" s="482"/>
      <c r="G54" s="483"/>
      <c r="H54" s="483"/>
      <c r="I54" s="483"/>
      <c r="J54" s="483"/>
    </row>
  </sheetData>
  <mergeCells count="16">
    <mergeCell ref="I2:J2"/>
    <mergeCell ref="F2:G2"/>
    <mergeCell ref="D52:F54"/>
    <mergeCell ref="G52:J52"/>
    <mergeCell ref="G53:J53"/>
    <mergeCell ref="G54:J54"/>
    <mergeCell ref="G45:J45"/>
    <mergeCell ref="G46:J46"/>
    <mergeCell ref="D37:F37"/>
    <mergeCell ref="G37:J37"/>
    <mergeCell ref="D39:F41"/>
    <mergeCell ref="D44:F46"/>
    <mergeCell ref="G39:J39"/>
    <mergeCell ref="G40:J40"/>
    <mergeCell ref="G41:J41"/>
    <mergeCell ref="G44:J44"/>
  </mergeCells>
  <phoneticPr fontId="2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309576-d397-4027-89f7-677ea1bb46dc" xsi:nil="true"/>
    <lcf76f155ced4ddcb4097134ff3c332f xmlns="180c4a05-4a4e-447d-8784-373d55359a0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EF2929A5783743946B2A6ED9D1D440" ma:contentTypeVersion="12" ma:contentTypeDescription="Crear nuevo documento." ma:contentTypeScope="" ma:versionID="af964aa7cde83f4ecf209c0c6c09c2cf">
  <xsd:schema xmlns:xsd="http://www.w3.org/2001/XMLSchema" xmlns:xs="http://www.w3.org/2001/XMLSchema" xmlns:p="http://schemas.microsoft.com/office/2006/metadata/properties" xmlns:ns2="180c4a05-4a4e-447d-8784-373d55359a0d" xmlns:ns3="f2309576-d397-4027-89f7-677ea1bb46dc" targetNamespace="http://schemas.microsoft.com/office/2006/metadata/properties" ma:root="true" ma:fieldsID="843929dd0632082970f45b7da241aa36" ns2:_="" ns3:_="">
    <xsd:import namespace="180c4a05-4a4e-447d-8784-373d55359a0d"/>
    <xsd:import namespace="f2309576-d397-4027-89f7-677ea1bb46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0c4a05-4a4e-447d-8784-373d55359a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d8c9b43d-0793-47dd-b66e-ab2b2177bf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309576-d397-4027-89f7-677ea1bb46dc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d4ce9fb-16b6-4c2f-84b6-2fbe3a071310}" ma:internalName="TaxCatchAll" ma:showField="CatchAllData" ma:web="f2309576-d397-4027-89f7-677ea1bb46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E73E82-D26F-4AAE-9314-914A26F08200}">
  <ds:schemaRefs>
    <ds:schemaRef ds:uri="http://schemas.microsoft.com/office/2006/metadata/properties"/>
    <ds:schemaRef ds:uri="http://schemas.microsoft.com/office/infopath/2007/PartnerControls"/>
    <ds:schemaRef ds:uri="f2309576-d397-4027-89f7-677ea1bb46dc"/>
    <ds:schemaRef ds:uri="180c4a05-4a4e-447d-8784-373d55359a0d"/>
  </ds:schemaRefs>
</ds:datastoreItem>
</file>

<file path=customXml/itemProps2.xml><?xml version="1.0" encoding="utf-8"?>
<ds:datastoreItem xmlns:ds="http://schemas.openxmlformats.org/officeDocument/2006/customXml" ds:itemID="{905DD42C-D0DE-4469-8345-DBDFE3F86F8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0c4a05-4a4e-447d-8784-373d55359a0d"/>
    <ds:schemaRef ds:uri="f2309576-d397-4027-89f7-677ea1bb46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7A2483-CD00-4B25-93D6-8DCB281E18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FLUJO DE CAJA PROYECTADO  (2)</vt:lpstr>
      <vt:lpstr>FLUJO DE CAJA PROYECTADO  (V1)</vt:lpstr>
      <vt:lpstr>Resumen</vt:lpstr>
      <vt:lpstr>Control Flujo de caja</vt:lpstr>
      <vt:lpstr>FLUJO DE CAJA PRESU</vt:lpstr>
      <vt:lpstr>FLUJO DE CAJA PROYECTADO </vt:lpstr>
      <vt:lpstr>REAL</vt:lpstr>
      <vt:lpstr>ASEGURADO</vt:lpstr>
      <vt:lpstr>Contabilidad</vt:lpstr>
      <vt:lpstr>Base contabilidad</vt:lpstr>
      <vt:lpstr>CURVA 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YEFFERSON ANDRES GONZALEZ ORTIZ</dc:creator>
  <cp:keywords/>
  <dc:description/>
  <cp:lastModifiedBy>Jose Palomares</cp:lastModifiedBy>
  <cp:revision/>
  <dcterms:created xsi:type="dcterms:W3CDTF">2026-03-24T21:56:29Z</dcterms:created>
  <dcterms:modified xsi:type="dcterms:W3CDTF">2026-09-10T19:31:49Z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0x01010038EF2929A5783743946B2A6ED9D1D440</vt:lpwstr>
  </property>
  <property fmtid="{D5CDD505-2E9C-101B-9397-08002B2CF9AE}" pid="3" name="MediaServiceImageTags">
    <vt:lpwstr/>
  </property>
</Properties>
</file>